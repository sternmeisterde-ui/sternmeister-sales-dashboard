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 state="visible" name="Лист2" sheetId="2" r:id="rId6"/>
  </sheets>
  <definedNames/>
  <calcPr/>
</workbook>
</file>

<file path=xl/sharedStrings.xml><?xml version="1.0" encoding="utf-8"?>
<sst xmlns="http://schemas.openxmlformats.org/spreadsheetml/2006/main" count="1363" uniqueCount="1118">
  <si>
    <t>Этап</t>
  </si>
  <si>
    <t>№</t>
  </si>
  <si>
    <t>Название критерия</t>
  </si>
  <si>
    <t>Prompt</t>
  </si>
  <si>
    <t>Установление контакта</t>
  </si>
  <si>
    <t>1. Приветствие и установление контакта</t>
  </si>
  <si>
    <t>Проверь, сказал ли Продавец в начале звонка фразы, близкие по смыслу к следующему:
- «Здравствуйте, [Имя клиента], это [Имя Продавца] из Sternmeister», я менеджер приемной комиссии SternMeister»
Структура и точное совпадение с фразами из примеров неважны, главное, чтобы было приветствие
[1] – Всё названное соблюдено. 
[0] – Приветствия не было. 
[Пусто] – Начало разговора отсутствует.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</si>
  <si>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 Озвучен план разговора (программирование)</t>
  </si>
  <si>
    <t>Проверь, дал ли Продавец Клиенту чёткое понимание, как будет строиться разговор. Он должен был проговорить следующие три смысловых блока (не обязательно дословно, главное — по смыслу):
– Задам несколько вопросов, чтобы понять, насколько подходим друг другу
– Расскажу про курс 
– Договоримся, что если всё подойдёт, определимся по дальнейшим шагам
[1] – Все три смысловых блока озвучены или переформулированы близко по смыслу. Продавец озвучил продолжительность разговора, дал структуру разговора, подготовил Клиента к последующим этапам.
[0] – Один или несколько смысловых блоков не были сказаны, либо структура программирования нарушена. В ответе опиши, какие части были пропущены, искажены или недостаточно выражены.
[Пусто] – Если в транскрипции отсутствует момент, когда Продавец мог бы озвучить план разговора (например, звонок прервался раньше этого момента).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</si>
  <si>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 Корректная отработка вопроса о стоимости (если он прозвучал)</t>
  </si>
  <si>
    <t>Проверь, задал ли Клиент вопрос о стоимости до того, как Продавец выяснил его потребности, запрос или цели, и если да — как Продавец отреагировал. По скрипту Sternmeister, в начале звонка Продавец не должен сразу озвучивать цену, а мягко “отложить” этот вопрос, чтобы сначала понять потребности, запрос, цели Клиента.
[1] – Клиент задал вопрос о цене до этапа выяснения запроса, и Продавец корректно отработал его: перенёс обсуждение стоимости на потом, мотивировав это необходимостью сначала разобраться в ситуации Клиента. Формулировки могут быть любыми по смыслу.
[0] – Продавец начал обсуждать цену сразу или допустил обсуждение возражений на этом этапе. Либо проигнорировал вопрос без осознанного переноса. В ответе укажи, как прозвучал вопрос, как отреагировал на него Продавец и как отреагировал Клиент.
[Пусто] – Вопрос о стоимости не поднимался в начале разговора.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</si>
  <si>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 Корректная отработка вопроса о JobCenter (если он прозвучал)</t>
  </si>
  <si>
    <t>Проверь, во всем разговоре задал ли Клиент вопрос в любой форме о финансировании оплаты курсов через Jobcenter (например, спросил про Gutschein, Berater, субсидию и т. п.), и если задал — как Продавец отреагировал.
[1] – Продавец корректно отреагировал:
– подтвердил, что можно получить финансирование на курс SternMeister 
– отметил, что для получения финансирования необходимо подходить под следующие критерии:
- готовность заниматься фольцайт (полный день от 12:00 до 20:00), 
- уровень языка В1+,
- среднее специальное образование
- возраст до 55 лет
- стоять на учете в Джоб Центре или в Агентур фюр Арбайт
- обязательно, чтобы человек не работал
- доход в семье был не больше 3000 евро
– и задал уточняющий вопрос о том, подходит ли Клиент под эти критерии, тем самым, дав возможность Клиенту самому сказать, что он не подходит (в случае, если это так)
[0] – Продавец допустил некорректную реакцию:
– сказал, что компания Продавца не работает с JobCenter или, что Клиенту не одобрят финансирование, например: “нет возможности через Jobcenter”, “мы с ними не работаем”, "вы не подходите под требования, вам не одобрят финансирование"
[Пусто] – Тема Jobcenter и финансирования через субсидии не поднималась в разговоре.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</si>
  <si>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Выявление потребностей</t>
  </si>
  <si>
    <t>5. Small talk и установление контакта</t>
  </si>
  <si>
    <t>Проверь, выяснил ли Продавец, чем Клиент занимается сейчас и кем работал раньше. Этот этап помогает наладить контакт и запустить диалог. Продавец должен был задать вопросы, или Клиент мог сам рассказать об этом в начале разговора. Пример по скрипту: «Расскажите, пожалуйста, немного о себе».
[1] – Продавец задал общие вопросы, установил контакт с клиентом, перед тем, как перейти к вопросам по Точке А и Точке В или Клиент сообщил сам: чем он занимается сейчас, кем работал раньше, сколько уже в Германии, в какой сфере. Допускаются любые формулировки по смыслу.
[0] – Продавец не задал таких вопросов и не проявил интереса к опыту Клиента, а сам Клиент об этом ничего не рассказал. В ответе опиши, что именно выяснено, а что было упущено.
[Пусто] – Разговор не дошёл до момента знакомства и обсуждения опыта.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</si>
  <si>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6. Точка А (выявить и усилить боль)</t>
  </si>
  <si>
    <t>Проверь, выяснил ли Продавец ключевые элементы Точки А, задавая вопросы или активно слушая Клиента. Структура Точки А включает:
– опыт Клиента
– текущая ситуация Клиента и что именно в ней не устраивает Клиента
– какие попытки уже предпринимались Клиентом, чтобы изменить ситуацию
– каким Клиент видит идеальное решение 
Важно: Продавец может задавать любые вопросы, которые помогают выявить эти пункты. Допустима ситуация, когда Клиент сам обо всём рассказывает — в этом случае Продавец должен проявить активное слушание.
[1] – Продавец получил ответы на все 4 элемента фрейма Точки А: опыт, текущая ситуация, попытки изменить ситуацию, идеальное решение. Информация может быть получена как в результате вопросов, так и из рассказа Клиента.
[0] – Продавец не проявил интереса к опыту Клиента, не задал ни одного вопроса, который выявил бы ответы на названные пункты, и сам Клиент ничего о себе не рассказал.
[Пусто] – Разговор не дошёл до этапа знакомства и обсуждения ситуации Клиента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</si>
  <si>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7. Ситуативные вопросы в Точке А</t>
  </si>
  <si>
    <t>Проверь, задал ли Продавец вопрос про текущую ситуацию Клиента и о том, какие попытки были изменить текущую ситуацию. В данном критерии, мы проверяем задал ли Продавец уточнящющие вопросы про влияние текущей ситуации Клиента на его жизнь или отношения с семьей, если да, то спросил ли продавец в каких ситуациях и как это проявляется:
[1] – Продавец, для уточнения влияния текущей ситуации Клиента на жизнь Клиента, задал вопросы близкие по смыслу в любой формулировке, например: "Как текущая ситуация сказывается на жизни/на ваши отношения с семьей/женой/мужем/детьми (в зависимости от ситуации)" или "Если и в течение следующего года ничего не поменяется - вы к этому готовы Или внутри уже нет сил ждать еще, пока все сдвинется"
[0] – Продавец не задал вопросы на уточнениие влияния текущей ситуации Клиента на жизнь Клиента или не спросил готов ли Клиент к тому, чтобы в течение следующего года ничего не поменялось 
[Пусто] – Разговор не дошёл до этапа знакомства и обсуждения ситуации Клиента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</si>
  <si>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8. Точка В (ожидания, готовность, срочность)</t>
  </si>
  <si>
    <t>Проверь, выяснил ли Продавец ключевые элементы Точки В, задавая вопросы или активно слушая Клиента. Структура Точки В должна соответствовать технике SMART и включать:
– конкретную цель Клиента 
– измеримый результат — уровень дохода, который хочет получать Клиент
– значимость цели  —  вторичные цели Клиента, например: «чтобы стать финансово независимой», «чтобы чувствовать себя полноценной», «чтобы уйти от быта и выйти на работу», «чтобы контролировать лучше свой бизнес и не допускать потерь», «чтобы обеспечить себе и/или семье и/или своему ребенку лучшее будущее», «чтобы поменять параграф и получить ВНЖ/ПМЖ в Германии» и т.д. 
– срок достижения цели  — когда Клиент хочет выйти на результат
Продавец может задавать любые вопросы, которые помогают выявить пункты фрейма Точки Б. Допустима ситуация, когда Клиент сам обо всём рассказывает — в этом случае Продавец должен проявить активное слушание. Также проверь, использовал ли Продавец в этом блоке реплики-презентации, показывая, что курс компании Sternmeister помогает достичь заявленной цели (например: “вот именно поэтому у нас предусмотрена стажировка, чтобы вы быстрее нашли работу”).
[1] – Продавец получил ответы на все 4 элемента SMART-структуры: цель, доход, значимость и срок. Информация может быть получена как в результате вопросов, так и из рассказа Клиента. 
[0] – Продавец не получил информацию хотя бы по одному из четырёх пунктов фрейма Точки Б по технике SMART.  
[Пусто] – Разговор не дошёл до этапа обсуждения целей Клиента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</si>
  <si>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9. Уточнение SMART-целей Клиента</t>
  </si>
  <si>
    <t>Проверь, как Продавец отреагировал, если Клиент дал расплывчатый ответ хотя бы по одному из пунктов SMART-структуры:
– конкретная цель (например: «не знаю», «просто хочу что-то поменять», «ну как получится»)
– измеримый результат — уровень дохода (например: «чем больше, тем лучше», «не думал(а)», «не знаю»)
– значимость цели — мотивация и вторичные цели (например: «просто интересно», «ну как у всех», «да не знаю зачем»)
– срок достижения цели (например: «не ставила себе такие цели», «не задумывалась», «как получится», «чем скорее, тем лучше»)
Продавец должен мягко уточнить и помочь Клиенту сформулировать цель конкретно. Допускаются любые формулировки по смыслу. Примеры корректных уточнений:
– “Чтобы понять, насколько вам подходит курс, давайте прикинем хотя бы ориентир...”
– “Это поможет построить чёткий карьерный план...”
– “Давайте представим, что всё получилось — как скоро вы бы хотели выйти на такой результат”
– “Понимаю, что хочется всё и сразу, но всё же — какой уровень дохода будет для вас реальным и комфортным”
[1] – Продавец получил расплывчатый ответ хотя бы по одному из пунктов SMART и помог Клиенту его уточнить. В ответе опиши:
– по каким пунктам SMART ответ Клиента был неконкретным
– как именно Продавец уточнил
– удалось ли прийти к конкретной формулировке
[0] – Продавец принял расплывчатый ответ без попытки уточнить, не довёл до конкретики ни один из пунктов.
[Пусто] – Цели Клиента и Точка Б не обсуждались (например, разговор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</si>
  <si>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10. Преимущества профессии Бухгалтера</t>
  </si>
  <si>
    <t>Проверь, рассказал ли продавец на этапе выяснения Точки Б (цель клиента, результат который хочет клиент, сроки) о преимуществах профессии Бухгалтера в Германии, о социальном пакете, возможном карьерном росте и зарплатах, продавец обрисовал картину лучшего будущего и спросил что Клиент будет чувствовать, когда все это произойдет:
[1] - Если продавец рассказал о преимуществах профессии Бухгалтера в Германии, минимум две из фраз ниже (или близкие по смыслу или своими словами):
- "Годовой доход начинающих бухгалтеров составляет в среднем €47 000, а уже через 3 года на позиции финансового директора €69000 в год"
- "Квалификация бухгалтера даст вам возможность найти работу как фестангештельте (штатный сотрудник), таким образом вы получите все преимущества поддержки от государства, итак, что изменилось в вашей жизни к лучшему или какие эмоции вы испытываете"
- "У вас будут оплачиваемые больничные, премии, отпускные и уверенность, что вас точно не сократят в случае кризиса, а при банкротстве компании вы будете получать зарплату еще 6 месяцев, итак, что изменилось в вашей жизни к лучшему или какие эмоции вы испытываете"
- "Давайте представим: у вас на руках немецкий диплом бухгалтера, вы выходите на новую работу. Вы работаете бухгалтером с 9 до 5 часов дня, с 2 полноценными выходными, с бесплатной медициной в хороших клиниках и с отпуском целый месяц в году, итак, что изменилось в вашей жизни к лучшему или какие эмоции вы испытываете"
[0] – Продавец не рассказал про социальный пакет Бухгалтера в Германии или применил лишь одну из необходимых фраз (или близких по смыслу).  
[Пусто] – Разговор не дошёл до этапа обсуждения целей Клиента (например, прервался раньше).
В обоснование выпиши какие именно фразы применил Продавец, как конкретно он их произнес и в каком контексте. Если Продавец применил лишь одну фразу - выпиши какую именно и в каком контексте. Укажи какие из необходимых фраз также были применимы в контексте диалога, но не были использованы Продавцом.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</si>
  <si>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11. Резюмирование целей и сроков перед презентацией</t>
  </si>
  <si>
    <t>Проверь, резюмировал ли Продавец ключевые моменты, которые обсудил с Клиентом: его текущую ситуацию (точка А), цели и желания (точка Б), а также сроки достижения результата. После резюмирования Продавец должен был получить подтверждение от Клиента, что всё верно, и только затем переходить к презентации курса.
[1] – Продавец сказал, что хочет подытожить или проверить, правильно ли понял. Озвучил хотя бы в общем:
– с какой ситуацией сейчас сталкивается Клиент
– к чему он хочет прийти (цель, желаемая работа/доход)
– обозначил или уточнил сроки (например, «в течение этого года»)
– задал вопрос, всё ли верно и/или предложил Клиенту дополнить
Формулировки могут быть любыми по смыслу.
[0] – Продавец не резюмировал ключевые точки, не подвёл итоги разговора и не получил подтверждение от Клиента. В ответе опиши, обсуждалась ли точка А и точка Б, и были ли предприняты попытки их подытожить.
[Пусто] – Разговор не дошёл до момента перед презентацией, либо обрывается на этапе выявления потребностей.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</si>
  <si>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Презентация продукта</t>
  </si>
  <si>
    <t>12. Презентация проведена с опорой на цели и запрос Клиента</t>
  </si>
  <si>
    <t>Проверь, адаптировал ли Продавец презентацию курса под цели и запросы Клиента. Презентация должна отвечать на вопрос: почему именно этот курс помогает именно этому Клиенту достичь его цели.
Продавец мог использовать любые формулировки, которые связывают содержание курса с ранее озвученными потребностями Клиента (например: «вы говорили, что хотите контролировать бухгалтерию в своём бизнесе — у нас есть модуль, где разбираем это», «вам важно понимать законы — поэтому у нас есть юридический блок» и т. п.).
[1] – Продавец выяснил цели Клиента до начала презентации и в рассказе о курсе делал явные или неявные отсылки к ним. Использовал формулировки по смыслу: «вы говорили, что...», «в вашем случае...», «вам важно...», и связал контекст Клиента с содержанием  программы  курса.
[0] – Продавец не выяснил цели Клиента до презентации или рассказывал про курс без привязки к его задачам, целям и пожеланиям. Презентация звучала обобщённо, без попытки показать, как курс помогает в конкретной ситуации Клиента.
[Пусто] – Презентация курса не проводилась или разговор завершился до этого момента,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</si>
  <si>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13. Презентация проведена в формате диалога, с вовлечением Клиента</t>
  </si>
  <si>
    <t>Проверь, рассказывал ли Продавец о курсе в живом диалоге с Клиентом, а не в виде монолога. Он должен был задавать уточняющие или вовлекающие вопросы по ходу презентации, проверять интерес Клиента к отдельным темам, делать паузы для реакции.
[1] – Презентация проходила в диалоге: Продавец задавал Клиенту вопросы по ходу рассказа, уточнял, что откликается, предлагал комментировать или делился примерами с вопросами типа “Вам бы это было полезно”, “А у вас было что-то похожее”. Формулировки могли быть разными по стилю.
[0] – Продавец проводил презентацию в формате монолога, не задавая ни одного вопроса по ходу рассказа, не вовлекая Клиента и не создавая ощущение диалога. В ответе опиши, как именно шла подача — были ли реплики Клиента, на что Продавец реагировал.
[Пусто] – Презентация курса не проводилась или разговор оборвался до неё.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</si>
  <si>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Предзакрытие и ФОМО</t>
  </si>
  <si>
    <t>14. Что откликнулось Клиенту в презентации и готовность клиента начать</t>
  </si>
  <si>
    <t>Проверь, задал ли Продавец вопрос о том, что из презентации оказалось наиболее важным или интересным для Клиента.
[1] – Продавец задал любой из уточняющих вопросов (в любой формулировке, своими словами) из представленнных вопросов ниже:
– “Что вам особенно откликнулось”
– “Что показалось полезным или интересным”
– "Что больше всего запомнилось"
– ИЛИ Клиент сам по ходу презентации несколько раз проявлял интерес, называл, что именно ему подходит, говорил, что это про него.
[0] – Продавец не задал уточняющий вопрос о том, что понравилось Клиенту
В ответе опиши, звучала ли обратная связь или какая.
[Пусто] – Презентация курса не проводилась или разговор прервался до этого момента.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</si>
  <si>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15. Предзакрытие, FOMO и тактика дефицита</t>
  </si>
  <si>
    <t>Проверь, как Продавец использует срочность и дефицит: создаёт обоснованное, правдоподобное, мягкое давление или давит агрессивно и неправдоподобно.
[1] – Продавец создал FOMO эффект для Клиента (ощущение упущенной выгоды) через дефицит с отсылкой на реальные факты, сказав любую фразу создающую ограниченность предложения. Продавец не давит на страх или чувство вины. Давление воспринимается как мягкое и аргументированное.
 Вот несколько примеров подобных фраз, которые продавец может произнести близко по смыслу или своими словами, или сказав вообще другую фразу, но которая также создает эффект FOMO для Клиента:
– «Сейчас у нас набирается группа, это последний поток перед перерывом. Если не попадете, следующая группа стартует только где-то через 3-4 месяца - это минус 4 месяца до вашей цели. В денежном эквиваленте это потеря €16 000»
– «Дефицит бухгалтеров в Германии на максимуме сейчас, все рвутся, нужно успеть найти свое место, а то будет как в IT - кто не успел 10 лет назад, сейчас с 0 практически не может внедриться в эту сферу, а те, кто начали, сейчас получают по 10-15 тыс евро в месяц. Если начать сейчас в сфере бухгалтерии в Германии, через несколько лет можно будет вырасти до финансового директора и получать 10 000 евро в месяц»
– «Стоимость следующего потока будет на 20% дороже, а на текущий осталось только определенное количество мест (например: 2 места или 3 места или 5 мест)»
[0] – Продавец завершил презентацию не создав эффект FOMO для Клиента. Перешёл сразу к обсуждению цены и стоимости, к возражениям или просто завершил презентацию без предзакрытия.
ИЛИ
– Продавец использует жёсткое, неправдоподобное давление. Нет прозрачных оснований, происходит давление на страх, стыд или чувство неполноценности. Давление воспринимается как агрессивное и манипулятивное, Продавец пугает или торопит Клиента фразами вида:
– «Вы так и хотите все жизнь сидеть на обеспечении от государства»
– «Вы же не хотите так и работать на своей работе, время идёт»
– «Пора уже решаться, а то поезд уйдёт»
[Пусто] – Разговор не дошёл до конца презентации курса (например, прервался раньше) или тема сроков, повышения цен, набора в группу, количества мест и т.п. не обсуждается.
В обосновании опиши, какие именно аргументы о срочности/дефиците использовал Продавец, выглядели ли они правдоподобно или манипулятивно, как реагировал Клиент, приведи 2–4 цитаты, где лучше всего слышно это давление или его отсутствие.
Важно: перед оценкой проверь корректность ролей. Продавец — сотрудник компании Sternmeister (в транскрипции название может звучать как «Стармейстер», «Стернмейстер», «Стенмейстер»), предлагающий Клиенту курс обучения на бухгалтера в Германии.</t>
  </si>
  <si>
    <t>16. Реферальная программа</t>
  </si>
  <si>
    <t xml:space="preserve">Проверь, рассказал ли Продавец Клиенту о реферальной программе SternMeister и донёс ли ключевые условия.
Учитывай эквиваленты по смыслу, даже если формулировки отличаются от скрипта.
[1] – Продавец презентовал реферальную программу SternMeister. В разговоре прозвучали ключевые смысловые элементы:
– Клиент получает вознаграждение за каждого приведённого друга/знакомого, который купит курс (с суммой 300 евро, выплачивается в течение 3 месяцев)
– Продавец предложил конкретный следующий шаг (зафиксировать контакты сразу или отправить их сообщением позже).
[0] – В разговоре реферальная программа упоминалась, но с существенными пробелами:
– нет упоминания суммы вознаграждения
– или не сказано, что реферал должен купить курс
– или не объяснено, что делать Клиенту (нет предложения зафиксировать данные сейчас или отправить позже)
– либо Продавец вообще не упомянул реферальную программу, хотя разговор дошёл до логичного завершения презентации курса и продажи. 
[Пусто] – Разговор закончился или оборвался до этапа презентации и продажи курса и у Продавца не было естественной возможности перейти к теме реферальной программы.
В обосновании укажи
– прозвучала ли реферальная программа и как именно её описал Продавец
– была ли названа сумма вознаграждения и условие, что реферал должен купить курс
– предлагал ли Продавец зафиксировать контакты сразу или отправить их позже и как на это отреагировал Клиент
– общий вывод, насколько Клиент понял выгоду и конкретный следующий шаг по реферальной программе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
</t>
  </si>
  <si>
    <t>Отработка возражений</t>
  </si>
  <si>
    <t>17. Какие возражения озвучил Клиент (теги)</t>
  </si>
  <si>
    <t>[Тег] — данный критерий исключение. В качестве оценки, вместо [Тег], напиши все возражения, которые озвучил Клиент в разговоре, в виде списка тегов через запятую. Используй список тегов ниже. Если какое-то возражение не подходит ни под один из предложенных тегов — придумай новый тег, который точно отражает суть, и включи его в общий список.
Если возражений не было, напиши: Тегов нет.
В поле reasons укажи для каждого тега:
– в какой момент прозвучало возражение (на каком этапе разговора)
– как именно Клиент его сформулировал (дословно или по смыслу)
– в каком тоне это прозвучало (уверенно, сомневаясь, с интересом, с раздражением и т.д.)
Список тегов:
дорого — клиент считает, что курс стоит слишком много
нет времени — клиент не может начать из-за загруженности или нестабильного графика
немецкий язык — клиент беспокоится, что не знает язык и не сможет пройти обучение или работать
онлайн обучение — клиент не доверяет формату онлайн-обучения или считает его неудобным
подумаю — клиент не готов принять решение и говорит, что подумает
посоветуюсь — клиент говорит, что нужно посоветоваться (с супругом, семьёй и т.д.)
не сейчас — клиент говорит, что не планирует начинать обучение в ближайшее время
неуверенность в себе — клиент сомневается в своих силах или способностях
не подходит программа — клиенту не подходит содержание курса, предметы, длительность и т.д.
сомнения в трудоустройстве — клиент не верит, что после обучения сможет найти работу
уже есть опыт — клиент говорит, что уже работает бухгалтером или имеет нужные знания
нет уверенности в компании — клиент не доверяет Sternmeister, говорит, что не нашёл отзывов, сайта и т.д.
сравнивает с конкурентами — клиент упоминает, что рассматривает другие курсы
формат не подходит — клиенту не подходит график занятий, записи, онлайн-встречи
не хочет менять профессию — клиент говорит, что передумал менять сферу или не уверен
мало информации — клиент говорит, что недостаточно информации, чтобы принять решение
сомнения в сертификате — клиент не понимает или не уверен в ценности сертификата AZAV
нет денег — клиент говорит, что сейчас не может позволить себе оплату курса
всё понятно — клиент говорит, что уже всё знает, ему не интересны объяснения
причины не названы — клиент возражает, но не может объяснить причину, уклоняется от ответа</t>
  </si>
  <si>
    <t>18. Отработка возражений по структуре</t>
  </si>
  <si>
    <t>Проверь, отработал ли Продавец возражения Клиента по структуре: сначала уточнение, затем аргументация, и попытка определить, какое из возражений является ключевым.
Для первого возражения важно, чтобы Продавец начал отработку с уточняющего вопроса о том, является ли это единственным препятствием для принятия решения.
Примеры вопросов по смыслу:
– «[Имя клиента], это единственный момент, который сейчас мешает начать»
– «[Имя клиента], это основная причина, по которой сейчас сложно принять решение»
Точное совпадение формулировок не требуется. Главное — Продавец по смыслу уточнил, является ли это возражение единственным и решающим.
Если в разговоре возникало несколько возражений, дальнейшая отработка должна начинаться с уточнения, какое из них является ключевым.
Примеры по смыслу:
– «[Имя клиента], а что для вас сейчас важнее — [первое возражение] или [второе возражение]»
Формулировки могут быть любыми. Важно, чтобы Продавец пытался определить главное возражение, а не отрабатывал их хаотично.
[1] – Продавец отработал все возражения Клиента по структуре:
– при первом возражении уточнил, является ли это единственной причиной, мешающей принятию решения;
– при появлении последующих возражений попытался выяснить, какое из них ключевое;
– дал аргументацию в ответ на слова Клиента, направленную на снятие сомнений или опасений.
[0] – Продавец не отработал возражения по структуре: не уточнил, является ли возражение ключевым, не попытался определить главное ограничение или не дал аргументации для снятия сомнений Клиента.
[Пусто] – Возражений со стороны Клиента не было.
Важно: в обосновании выпиши:
– какие возражения прозвучали;
– как именно на них реагировал Продавец;
– как отреагировал Клиент.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</si>
  <si>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19. Продавец корректно отработал ложные возражения (“подумаю”, “посоветуюсь”, “не сейчас”)</t>
  </si>
  <si>
    <t>Проверь, как Продавец отреагировал на так называемые ложные возражения — “подумаю”, “посоветуюсь”, “не сейчас” и т. д. По скрипту Sternmeister, в таких случаях нужно использовать технику “искренность” — спокойно и честно задать уточняющий вопрос, чтобы вскрыть настоящую причину сомнений Клиента. При отработке каждого возражения в конце Продавец должен делать персонализированный призыв к действию (например: “в этом случае могу предложить…”, “тогда предлагаю такой вариант, чтобы было комфортно”, "давайте тогда договоримся так...", "предлагаю согласовать ...", и т.д., в зависимости от цели данного конкретного клиента, допустимо в вопросительной форме)
[1] – Продавец отреагировал на ложное возражение по структуре:
– не ушёл от темы и не закрыл разговор
– задал уточняющий вопрос (“что именно смущает”, “в чём именно хотите посоветоваться”, “что бы позволило вам принять решение сейчас”)
– попытался вывести Клиента на настоящее возражение
– В конце отработки возражения Продавец сделал персонализированный призыв Клиента  к действию
Если Клиент назвал настоящую причину — выпиши её.
[0] – Продавец проигнорировал или быстро закрыл тему, не задал уточняющий вопрос, не попробовал прояснить, что стоит за фразой “подумаю” и т. д. В ответе укажи:
– какие ложные возражения прозвучали
– как Продавец на них отреагировал
– удалось ли перейти к реальному возражению
[Пусто] – Ложных возражений не было в разговоре.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</si>
  <si>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20. Какие техники отработки возражений стоило бы применить Продавцу</t>
  </si>
  <si>
    <t>[Рекомендация] - данный критерий исключение, в качестве оценки напиши слово Рекомендация, а в обосновании оценки reason напиши следующее:
А) Проанализируй, как Продавец отрабатывал возражения в этом звонке:
– какие конкретно возражения звучали
– как на них реагировал Продавец
– какие ошибки или недочёты он допустил (например, отсутствие присоединения, уточнения, слабые аргументы, уход от темы)
Б) Разбери звонок с точки зрения 2–3 современных международных методик продаж (актуальных на 2025 год):
– выбери подходящие модели (например: SPIN, Challenger, GAP, NEAT, Sandler)
– объясни, как каждая из них помогает понять слабые места в отработке
– укажи, какие принципы этих методик были не соблюдены и как это повлияло на реакцию Клиента
В) Для каждой из выбранных методик предложи 1–2 примера фраз или вопросов, которые мог бы использовать Продавец в этой ситуации.
Для каждой фразы укажи:
– на какое возражение она направлена
– к какой методике относится
– почему эта формулировка была бы эффективнее (объясни с опорой на метод)
Заверши ответ объяснением, как предложенные подходы могли бы помочь Продавцу:
– укрепить доверие Клиента
– выявить настоящую причину отказа
– продвинуть диалог к принятию решения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</si>
  <si>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21. Как Продавец отработал вопросы Клиента (не только возражения)</t>
  </si>
  <si>
    <t>[Рекомендация] - данный критерий исключение, в качестве оценки напиши слово Рекомендация, а в обосновании оценки reason напиши следующее:
А) Выпиши все вопросы, которые задал Клиент по ходу разговора (если были). Укажи, на каком этапе они прозвучали и с чем были связаны (цена, формат, сертификат, длительность и т. д.)
Б) Для каждого вопроса укажи, дал ли Продавец понятный, конкретный и прямой ответ.
Если ответ был неполным, не по сути или отложен "на потом", укажи это.
В) Если какие-либо вопросы остались без ответа — выпиши их и предложи, как бы Продавец мог ответить на них лучше.
Сформулируй ответную реплику, которая могла бы:
– развеять сомнение
– дать конкретику
– или перевести Клиента к следующему шагу
Оцени, повлияли ли неотвеченные вопросы на дальнейший ход разговора.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</si>
  <si>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Этап оплаты</t>
  </si>
  <si>
    <t>22. Продавец порекомендовал вариант оплаты и дал аргументацию</t>
  </si>
  <si>
    <t>Проверь, как Продавец рекомендовал вариант оплаты: обозначил ли ценность курса перед озвучиванием цены, предложил ли оплату от большего к меньшему, и аргументировал ли своё предложение.
[1] – Продавец соблюдал алгоритм презентации цены (описан ниже)
[0] – Продавец не соблюдал алгоритм презентации цены (описан ниже)
Алгоритм презентации цены:
1. озвучил ценность курса до того, как назвать цену (например: на выходе после курса Бухгалтер у нас вы получаете гарантированную помощь в трудоустройстве, бесплатную практику в программах Datev и Lexware, знания узкопрофильного немецкого, необходимого для работы, знания по Искусственному Интеллекту, живые уроки с преподавателями с возможностью задавать вопросы, 6 проектов в портфолио и сертификат гос. образца за 4300 евро)
2. порекомендовал оплату от большего к меньшему (сначала 3900 евро целиком при единовременной оплате, затем рассрочка 3900 на 5 месяцев, далее 4300 на 7 месяцев, и только в исключительном случае — 4300 на 10 месяцев)
3. аргументировал выбор (например: “при полной оплате скидка 400 евро, так сможете максимально сэкономить”, “при рассрочке в 5 платежей скидочная стоимость сохраняется, что позволяет неплохо сэкономить” и т.д.)
Рекомендации могут быть адаптированы под ситуацию Клиента, но логика ""от большего к меньшему"" должна сохраняться.
4. если в разговоре выяснилось, что Клиент заведомо не может оплатить всю сумму, допускается, что Продавец сразу перешёл к рассрочке, но всё равно Продавец должен начать с варианта 3900 евро на 5 месяцев, а не сразу с 4300 евро на 10 месяцев.
[Пусто] – Разговор не дошёл до этапа обсуждения оплаты.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</si>
  <si>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23. Продавец узнал, подходит ли предложенный вариант оплаты Клиенту</t>
  </si>
  <si>
    <t>Проверь, задал ли Продавец вопрос о том, насколько Клиенту подходит предложенный вариант оплаты, и уточнил, что нужно, если Клиент не дал чёткого ответа.
[1] – Продавец:
– задал вопрос: “Этот вариант вам подходит”, “Какой способ оплаты вам удобнее”, “Готовы оплатить в таком формате” или аналогичный
– выслушал ответ
– если Клиент сомневался или ответил “не подходит” — Продавец задал уточняющий вопрос или предложил альтернативу, предварительно уточнив, единственный ли фактор — это стоимость, или есть другие причины.
Если Клиент назвал другие причины, Продавец вернулся к отработке возражения по структуре:
Присоединение → уточнение → аргумент → призыв к действию.
[0] – Продавец не задал вопроса о предпочтении Клиента, не уточнил, подходит ли предложенный способ, или проигнорировал сомнение Клиента. В ответе укажи, как Продавец перешёл к оплате и была ли реакция на ответ Клиента.
[Пусто] – Обсуждение оплаты не началось или прервалось до этого момента.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</si>
  <si>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24. Продавец предложил приступить к обучению</t>
  </si>
  <si>
    <t>Проверь, сделал ли Продавец прямое предложение зачислиться и начать обучение.
[1] – Продавец:
– задал финальный вопрос, например: “Вы готовы начать обучение”, “Давайте я помогу вам тогда оформиться”, “Готовы начать обучение сейчас” или аналогичную формулировку по смыслу
[0] – Продавец не предложил приступить к обучению, не узнал о готовности Клиента. В ответе укажи, как завершился этот этап подробно.
[Пусто] – Разговор прервался до попытки закрытия сделки.
Структура и точное совпадение с фразами из примеров неважны, главное, чтобы было приветствие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</si>
  <si>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25. Следующие шаги</t>
  </si>
  <si>
    <t>Проверь, закрепил ли Продавец договоренности о конкретных дальнейших шагах, вне зависимости от того, обсуждалась оплата курса или нет:
[1] – Если Клиент изъявил готовность оплатить или если Клиент не изъявлял готовности оплатить, в любом случае Продавец закрепил четкие договоренности о следующих шагах: проговорил когда будет следующий звонок в соответствии с договоренностью с клиентом.
[0] – Продавец не закрепил четких договоренностей о следующих шагах с Клиентом, не назначил следующий звонок.
[Пусто] – Разговор не дошёл до обсуждения оплаты.
В обосновании выпиши, какие следующие шаги были зафиксированы.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</si>
  <si>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Стандарты общения</t>
  </si>
  <si>
    <t>26. Применение сторителлинга</t>
  </si>
  <si>
    <t>Проверь, применил ли Продавец сторителлинг в любой части разговора, например Продавец рассказал успешную историю одного из клиентов, как пример и мотивацию для Клиента в звонке.
[1] – Продавец применил сторителлинг и рассказал, в любой части разговора с Клиентом, успешную историю-пример одного из текущих клиентов курсов Sternmeister или любую историю. Например, Продавец своими словами рассказал свою историю, историю какого-то знакомого, члена семьи или  одну из историй предлагаемых скриптом: 
Пример 1 - Гульнара из Украины. 
У Гульнары в Украине была насыщенная профессиональная жизнь: высшее образование и работа бухгалтера, а потом — собственный бизнес (салон красоты, в который было вложено все и силы и финансы). Но война перечеркнула все. Ради безопасности сыновей ей пришлось приехать сюда, в Германию. Первые месяцы у нее были такие же проблемы и ограничения, что у вас: языковой барьер, ощущение, что жизнь остановилась и т.д. Гульнара устроилась на книжный склад, но внутри понимала, что она способна на большее. В итоге она записалась к нам на курс, хотя у неё были те же страхи, что не получится, но сейчас она говорит, что ни капли не жалеет и учеба ее вдохновляет на каждом шагу. Вообще все наши студенты отмечают, что главное — не бояться сделать первый шаг.
Пример 2 - Виктория, приехала в Германию из Украины в 2022 году.
Виктория более 20 лет работала главным бухгалтером в разных компаниях. После переезда она подрабатывала на разных работах, но поняла, что очень хочет снова заниматься тем, что любит и умеет — бухгалтерией. Виктория начала искать курсы, которые могли бы помочь ей адаптировать опыт к немецкой системе. Очень важно было, чтобы обучение было понятным, с поддержкой, на русском языке, и в то же время с ориентацией на реальные требования работодателей. Она долго не верила, что справится с обучением, но нашла нас и сейчас отмечает, что больше всего ей нравится в обучении практическая направленность и то, как поддерживают преподаватели. Главное, как отмечает Виктория, что она снова чувствует, что двигается к своей профессии.
[0] – Продавец не применил сторителлинг и не рассказал историю-пример.
[Пусто] – Если разговор оборвался или прервался не завершившись, и в нем продавец не успел применить сторителлинг.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</si>
  <si>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27. Общая доброжелательность и вежливость Продавца</t>
  </si>
  <si>
    <t>Проверь, был ли Продавец вежлив, внимателен и доброжелателен по ходу разговора.
Учитывай: обращение по имени, интонацию по тексту, стиль общения и эмоциональный фон.
[1] – Продавец:
– минимум 3 раза обратился к Клиенту по имени (в любой части разговора)
– использовал вежливые слова: “спасибо”, “пожалуйста”, “извините”, “будьте добры”, “разрешите уточнить” и т. д.
– общался уважительно и с теплотой: без снисходительности, без высокомерия
– подстраивал тональность под Клиента:
– если Клиент был спокоен — Продавец вежлив и доброжелателен
– если Клиент был доброжелателен — Продавец тоже
– если Клиент раздражён — Продавец сохранил уважительный, спокойный стиль
[0] – Продавец не обращался по имени, не использовал вежливую лексику, был сухим, механическим, игнорировал тональность Клиента, либо звучал холодно или напряжённо. В ответе укажи, какие фразы использовались, какой был стиль общения и как он сочетался с эмоциональным фоном Клиента.
[Пусто] – Разговор прервался до момента, где можно было оценить стиль общения.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</si>
  <si>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28. Продавец использовал активное слушание и отзеркаливание Клиента</t>
  </si>
  <si>
    <t>Проверь, поддерживал ли Продавец контакт с Клиентом, показывал ли, что слушает и понимает, и повторял ли важные мысли Клиента своими словами.
[1] – Продавец:
– использовал фразы активного слушания: “да”, “угу”, “понял(а)”, “согласен”, “точно” и т. д.
– реагировал на высказывания Клиента (комментарии, уточнения, мини-рефреймы)
– перефразировал важные мысли Клиента и зеркалил последние ключевые слова из речи клиента: “Вы сказали, что уже работали бухгалтером…”, “Правильно понимаю, что для вас важно начать в этом году” и т.д.
– поддерживал диалог в живом темпе, не уходил в монолог
[0] – Продавец не проявлял признаков активного слушания, игнорировал реплики Клиента, не перефразировал важные мысли, общался шаблонно. В ответе укажи, как Продавец реагировал на реплики Клиента и было ли отзеркаливание.
[Пусто] – Разговор был слишком коротким или прервался до момента активного диалога.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</si>
  <si>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29. Продавец был корректен и сохранял самоконтроль</t>
  </si>
  <si>
    <t>Проверь, проявлял ли Продавец уважение и терпение в разговоре, не перебивал, не раздражался, не говорил грубостей или пассивно-агрессивных фраз.
[1] – Продавец:
– не перебивал Клиента, либо перебил вежливо и один раз, с извинением (“простите, что перебиваю…”)
– не проявлял раздражения или агрессии, даже если Клиент был негативен
– не говорил фраз вроде: “я уже объяснял”, “ну я же сказал”, “вам непонятно что ли”, “я уже отвечал”
– сохранял спокойный, профессиональный тон до конца разговора
[0] – Продавец перебивал, давил, использовал раздражённый или пассивно-агрессивный стиль общения. В ответе укажи:
– какие фразы звучали
– как реагировал на паузы или сомнения Клиента
– создавал ли ощущение давления или дискомфорта
[Пусто] – Разговор прервался до момента, где можно было оценить корректность общения.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</si>
  <si>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Критические ошибки</t>
  </si>
  <si>
    <t>30. Критические ошибки с точки зрения компании</t>
  </si>
  <si>
    <t>Проверь, допускались ли критичиские ошибки в ходе разговора:
[1] – В разговоре были зафиксированы одна или несколько ошибок, критичных для репутации и эффективности работы компании Sternmeister. Укажи, что именно произошло:
А) Продавец негативно высказывался о компании или курсе
Примеры: “у нас с этим часто проблемы”, “я сам не до конца понимаю, как это устроено”, “мне это тоже не нравится”, “ну, не знаю, кто этим занимается, разберётесь потом”
Б) Продавец отговаривал Клиента от покупки или сам проявлял сомнение
Примеры: “может, это не для вас”, “если не уверены — не надо идти на наше обучение”
В) Продавец ввел Клиента в заблуждение относительно лицензии AZAV, сертификата, который получит клиент по окончанию курса или любых других составляющих курса и/или процессов компании. Например, Продавец  сказал:
– что у Sternmeister нет лицензии AZAV от Декры
– что сертификат от Sternmeister не признается в Германии и не является достаточным основанием найти работу бухгалтера в Германии.
– говорит, что лицензию нельзя никак проверить
– говорит, что возможно подобрать индивидуальный график, если Клиенту не удобен презентованный Продавцом график
Г) Продавец сынициировал разговор о возврате, его условиях, первым озвучил, что у Клиента есть возможность сделать возврат, если не понравится урок, хотя Клиент не задавал вопросов о возможносятх возврата. Продавец сказал фразы или близкие по смыслу:
– вы ничего не теряете, можете оплатить сейчас, а потом потребовать возврат
– оплатите сейчас, посетите 1 урок, если не понравится, сделаем возврат
– вы ничем не рискуете, если оплатите сейчас за курс, все равно у нас есть возврат
В ответе укажи:
– какая фраза или действие вызвало риск и в каком контексте
– почему это может быть воспринято как введение в заблуждение и чем может быть чревато для компании
– какие из ошибок были допущены
– как Продавец завершил разговор
– был ли шанс продолжить работу с Клиентом — и использовал ли его Продавец
[0] – Продавец не допустил критических ошибок: не высказывался негативно, не отговаривал Клиента, не дезинформировал Клиента, не заговаривал о возврате первым и закрепил следующий шаг с конкретикой - дата, время или способ связи.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</si>
  <si>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31. Критические ошибки с точки зрения клиента</t>
  </si>
  <si>
    <t>[1] – В разговоре были допущены одна или несколько ошибок, которые могли нарушить доверие Клиента, ввести его в заблуждение или создать негативное впечатление. Укажи, что именно произошло:
А) Продавец дал ложную или искаженную информацию
Ошибка фиксируется, если сказанное противоречит следующим официальным данным о курсе Sternmeister:
Формат и структура курса:
– Длительность курса: 7 месяцев (31 неделя, включая каникулы)
– Объём: 630 часов обучения и 150 академических часов узкопрофильного немецкого
– Формат: онлайн
– 70% курса — это практика
– 6 практических кейсов, включая финальный проект
– Язык обучения: русский
Кто ведёт курс:
– Преподаватели — русскоязычные специалисты бухгалтеры, живущие в Германии
– Sternmeister работает в Германии, имеет право на образовательную деятельность, выдает официальные сертификаты вайтербильдунг с лицензией в соответствии с AZAV от Декра 
Что входит в обучение:
– Узкопрофильный немецкий язык для бухгалтеров 150 часов
– Карьерный центр — помогает с резюме, профилем LinkedIn, собеседованиями, стажировками
– Soft skills — коммуникация, критическое мышление, адаптация
– AI-инструменты и GPT Co-pilot — помогает в обучении и собеседованиях
– Трекинг прогресса, LMS-платформа
– Персонализированная мотивация — анкетирование, отслеживание вовлечённости
– Спиралевидная модель обучения — постепенное углубление тем
– Data-driven подход — адаптация контента и обратная связь на основе данных
Документы и сертификация: 
 – Клиент получает Сертификат о прохождении программы государственного образца, выданный по окончании курса. Он может называться:
 А. Weiterbildung – сертификат о дополнительном образовании (произносится как вайтербилдунг, вайсарбилдунг, вайсер-гилдзунг и др.)
 Б. Abschlusszertifikat – сертификат об окончании обучения (абшлусццертификат, абшлосс-цеттификат, абслус-сертификат и т. п.)
 В. Оба названия допустимы и взаимозаменяемы.
 AZAV — это государственная аккредитация организаций, обучающих в системе содействия занятости в Германии. Произносится как (Ацетафау, азав, ацэав, а-зав) У Sternmeister есть эта лицензия, и её наличие гарантировано на момент окончания обучения Клиента.
Допустимые произношения и искажения AZAV и её расшифровки (не считаются ошибкой, если по смыслу понятно):
AZAV – Ацетафау, азав, ацэав, а-зав, а если расшифровать аббревеатуру, то: Akkreditierung – аккредитирунг, аккредитерунг, акредетерунг, акритирунг, Zulassung – зуласунг, зуласинг, цулязунг, зюляссен, зулажундс, Verordnung – ферорднунг, ферарднунг, верорнунг, верортнунг, Arbeitsförderung – арбайтсфердерунг, арбайтсфордерунг, арбайцфорнунг, арбаитсфёрунг
Ошибка если Продавец: 
– Утверждает, что у SternMeister нет лицензии в соответствии с AZAV
– Умалчивает про сертификат, либо говорит, что он неофициальный
– Говорит, что SternMeister не имеет лицензию от Декра 
Б) Продавец сказал “я не знаю” по вопросу, который обязан знать
Такие темы включают: стоимость, формат, язык, старт потока, способы оплаты, наличие сертификата, продолжительность курса, возможность рассрочки и т. д.
Если Продавец не знает, но обещает уточнить — это не ошибка.
В) Продавец грубил, обвинял или перебивал Клиента
Даже нейтральные фразы вроде “ну это же очевидно”, “я уже объяснял”, “вы не поняли” — в контексте могут быть восприняты как давление или снисходительность.
В ответе укажи:
– какая ошибка была допущена
– цитаты и контекст
– как это могло повлиять на доверие Клиента и желание продолжать разговор
[0] – Продавец не допустил критических ошибок. Информация соответствовала действительности, поведение было уважительным, ответы — корректные и ясные.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</si>
  <si>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32. Критические ошибки с точки зрения закона</t>
  </si>
  <si>
    <t>[1] – В разговоре были допущены действия или фразы, которые могут нарушать законодательство Германии или создать юридические риски для компании Sternmeister. Укажи, что именно произошло:
А) Разглашение внутренней информации
Продавец рассказал о:
– доступах, правах и действиях сотрудников в CRM
– финансовых показателях, зарплатах или схемах
– внутренних документах, переписках, стратегиях
– учебных материалах, к которым Клиент не должен получать доступ заранее
Если это не было частью официальной презентации курса — это нарушение.
Б) Неправомерные обещания
Запрещено:
– давать гарантии трудоустройства (например: “вы 100% получите работу”)
– обещать отправить запись реального урока
– угрожать клиенту, использовать нецензурную лексику
[0] – Критических нарушений с точки зрения закона не зафиксировано. Продавец не давал ложных гарантий, не нарушал рамки диалога и не выходил за рамки допустимого в B2C-продаже образовательных услуг в Германии стандарта.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</si>
  <si>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Экспертный блок</t>
  </si>
  <si>
    <t>33. Talk ratio Продавца</t>
  </si>
  <si>
    <t>[Число] — укажи, сколько процентов времени от общего активного диалога говорил Продавец в процентах. Расчёт нужно производить на основе таймкодов транскрипции. Укажи результат округлённым до целого числа (например: 48).
1. Определи длительность активного диалога — от первой реплики Продавца или Клиента до последней. Не учитывай автоответчик, тишину, заставки и паузы до начала разговора.
2. Суммируй длительность всех реплик Продавца в этом интервале (используй таймкоды начала и конца(или вместо конца таймкод начала следующей реплики клиента)).
3. Раздели суммарное время речи Продавца на общее время активного диалога, умножь на 100 и округли до целого.
Важно: – Продавец — сотрудник Sternmeister (в транскрипции может быть “Стармейстер”, “Стернмейстер”, “Стенмейстер”).
– Если Продавец говорит более 95% времени, обязательно проверь корректность ролей.
– Если во всей транскрипции только один говорящий или второй сказал менее 3 слов, это не считается диалогом — поставь [Пусто].
– Используй секунды для всех расчётов.
В поле reasons укажи: – Сколько секунд длился активный диалог
– Сколько времени говорил Продавец
– Сколько времени говорил Клиент
– Количество реплик каждого
– Итоговое соотношение
Пример ответа: 
Score: 61
Reasons: Диалог длился 366 секунд. Продавец говорил 224 секунды, Клиент — 142. У Продавца — 28 реплик, у Клиента — 19. Соотношение: 224 / 366 = 61%.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</si>
  <si>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34. Оценка звонка по международным методологиям</t>
  </si>
  <si>
    <t>[Число] — в качестве оценки укажи итоговую сумму баллов по всем методологиям продаж.
Для этого проанализируй весь звонок и оцени его по следующим пяти международным методологиям продаж.
Для каждой методологии в поле обоснования укажи:
А) Название методологии
Б) Оценку звонка по данной методологии от 1 до 10
В) Почему была поставлена именно эта оценка (с примерами фраз из звонка, ситуаций и реакции Клиента)
Г) Что нужно было сделать, чтобы получить 10 из 10 по этой методологии — приведи 2–3 конкретных примера фраз, вопросов или приёмов, которые нужно было использовать в этом разговоре
После оценки всех методологий укажи сумму всех пяти оценок как итоговый балл по данному критерию, показав расчёт в обосновании, например: 7 + 8 + 5 + 6 + 9 = 35 (максимум — 50, минимум — 0).
Пример оценки критерия: 35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
Методологии:
1. Консультативные продажи 2.0 (Consultative Selling 2.0)
Фокус: Продавец выступает как консультант, помогая Клиенту выбрать наилучшее решение под его задачи. Не «продаёт», а помогает.
Ключевые шаги:
– Построение доверия и открытого диалога
– Выявление глубинных потребностей и приоритетов
– Прояснение ограничений (бюджет, сроки, ожидания)
– Презентация решения как персонального ответа
– Подтверждение пользы и принятие решения
Оцени:
– Слушал ли Продавец больше, чем говорил
– Задавал ли вопросы, раскрывающие личные цели Клиента
– Связывал ли преимущества продукта с потребностями покупателя
2. Продажа через эмоциональный резонанс (Emotional Resonance Selling)
Фокус: Продавец находит и усиливает эмоции Клиента, связанные с его потребностями или мечтами, и строит аргументацию на этом.
Ключевые шаги:
– Определение эмоциональной мотивации: «зачем это вам»
– Настройка: интонация, ритм, эмпатия
– Сторителлинг (аналогии, примеры)
– Акцент на чувства от результата, а не на свойства
– Закрытие сделки через воображение результата
Оцени:
– Выявил ли Продавец эмоциональную мотивацию Клиента (например: безопасность, статус, забота)
– Подстроился ли под стиль Клиента
– Использовал ли образы, истории или примеры, вызывающие эмоции
3. Продажи на основе потребностей (Needs-Based Selling, NBS)
Фокус: Продавец выявляет конкретные потребности Клиента и классифицирует их, чтобы предложить точное решение.
Ключевые шаги:
– Сбор информации: зачем, для кого, с какими ожиданиями
– Классификация запроса: рациональный / эмоциональный / срочный
– Презентация продукта как идеального ответа
– Устранение несоответствий и сомнений
– Финализация покупки, подтверждение соответствия ожиданиям
Оцени:
– Были ли чётко выявлены потребности Клиента
– Был ли выделен главный приоритет
– Связал ли Продавец характеристики продукта с этими приоритетами
4. Продажа через истории (Story-Based Selling)
Фокус: Продавец рассказывает правдоподобные и релевантные истории, помогающие Клиенту «увидеть себя» в успешной ситуации.
Ключевые шаги:
– Начало с проблемной ситуации, схожей с ситуацией Клиента
– Показ процесса решения и выбора продукта
– Завершение результатом — довольный клиент
– Прямая или косвенная аналогия с текущим покупателем
– Призыв к действию как логичное завершение истории
Оцени:
– Рассказывал ли Продавец истории
– Были ли они релевантны ситуации Клиента
– Вызвала ли история интерес, уточняющие вопросы или реакцию
5. Продажа по модели 4P (Problem–Promise–Proof–Proposal)
Фокус: Структурированное убеждение Клиента через 4 шага — от боли к решению.
Ключевые шаги:
– Проблема: чётко обозначить боль Клиента
– Обещание: пообещать результат («как станет лучше»)
– Доказательство: привести факты (цифры, кейсы, отзывы)
– Предложение: конкретное предложение с призывом к действию
Оцени:
– Была ли чётко определена «болевая точка»
– Сформулировал ли Продавец обещание результата
– Привёл ли он доказательства
– Сделал ли конкретное предложение (и какое именно)</t>
  </si>
  <si>
    <t>35. Структура звонка: фактический скрипт, который применил Продавец</t>
  </si>
  <si>
    <t>[1] – Разговор приблизил Клиента к покупке: Клиент ясно выразил интерес, согласие, дал позитивный сигнал (готов оплатить, захотел пойти на курс, договорились о следующем шаге).
[0] – Разговор не привёл к результату: Клиент отказался, остался в сомнении, не проявил интерес, разговор завершился без конкретного решения.
В поле reasons напиши:
А) Восстанови фактический скрипт, который применил Продавец в этом звонке
– Какие шаги он прошёл
– В каком порядке
– Как он переходил между темами
– Что сказал на каждом этапе (цитаты или смысл фраз)
Б) Зафиксируй особенности этого скрипта — что делал иначе были ли нестандартные шаги что пропустил
В) Укажи, какие элементы скрипта сработали: где Клиент проявил интерес, задавал вопросы, реагировал позитивно
Г) Укажи, какие элементы не сработали: где Клиент замолчал, ушёл в сомнение, дал возражение, или не дал ответа
Задача критерия — восстановить реальную модель поведения Продавца, зафиксировать её логику и результат. Это позволит в будущем сравнивать “сильные” и “слабые” сценарии на основе 100+ звонков.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</si>
  <si>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36. Что заставит этого Клиента купить (тип, реакция и болеутоляющая формула)</t>
  </si>
  <si>
    <t>[Тип клиента] — укажи, к какому типу относится Клиент в этом разговоре.
Выбери один из вариантов: Рациональный, Эмоциональный, Сравниватель (смотрит другие варианты), Осторожный (боится ошибки, ищет уверенность), Мечтатель (ориентирован на будущее, образ жизни), Недоверчивый, Убеждённый (уже почти готов), Иной (укажи).
В поле reasons напиши:
А) Что уже сработало
– Какие фразы, темы или реакции Продавца вызвали позитивную реакцию
– Где Клиент оживился, согласился, стал говорить больше
Б) Что могло бы сработать сильнее
– Где Продавец упустил момент
– Какая информация, тактика или эмоция могла бы усилить мотивацию
В) Pain-killer line
– Придумай одну сильную фразу, которая могла бы снять ключевое сомнение Клиента
– Объясни, почему она сработает именно для этого типа Клиента
– Укажи, в какой момент разговора её стоило сказать
Г) Что можно предпринять на следующем контакте
– Какие темы напомнить
– Какой формат диалога выбрать
– Что НЕ стоит повторять
Этот критерий помогает понять, как “дожать” клиента с учётом его типа мышления и мотивации, и собрать библиотеку стратегий под каждый тип.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</si>
  <si>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37. Неиспользованные УТП, которые могли бы повлиять</t>
  </si>
  <si>
    <t>[Рекомендация] - данный критерий исключение, в качестве оценки напиши слово Рекомендация, а в обосновании оценки reason напиши следующее:
Проанализируй разговор и выпиши, какие УТП могли бы повлиять на решение Клиента, но не были использованы или были раскрыты недостаточно. Также оцени, не возникла ли в разговоре потребность в таком УТП, которого вообще нет в текущем продукте — если да, предложи, что стоило бы добавить в программу, чтобы закрыть этот запрос.
А) Какие боли, сомнения или интересы выразил Клиент — и какие УТП могли бы на это сработать
Б) Какие УТП были упомянуты, но не раскрыты или раскрыты поверхностно
В) Какие УТП стоило бы добавить в разговор — как их можно было подать и почему эти УТП могли бы сработать именно для этого Клиента
Г) Если Клиент озвучил конкретный запрос, а соответствующего УТП нет — предложи, какого УТП не хватает продукту и как его можно было бы сформулировать
Список УТП курса “Бухгалтер” от Sternmeister:
– Преподаватели — практикующие бухгалтеры уровня Middle+
– AI-инструменты для автоматизации и анализа
– Карьерный центр + бот GPT Co-pilot: для помощи в подготовке и тренировок интервью
– Полный пакет шаблонов: резюме, письма, тестовые задания
– Soft skills: коммуникация, логика, аналитика
– Немецкий язык для бухгалтеров
– Современная методика обучения + LMS-платформа
– Персонализированная система мотивации (по типу памяти)
– 70% практики (реальные кейсы и инструменты)
– Группа поддержки + сопровождение
– Дашборд с прогрессом и аттестацией
Документы и сертификация:
– По окончании курса Клиент получает Сертификат о прохождении программы государственного образца с лицензией от Декра, который называется Weiterbildung — сертификат о дополнительном образовании (допустимые распознавания: вайсер-гилдзунг, вайсарбилдунг, вайтабилдунг, вайзер-билдунг и т. п.)
– Сертификат выдаётся лицензированной организацией, обладающей лицензией AZAV —
Akkreditierungs- und Zulassungsverordnung Arbeitsförderung (государственная лицензия, подтверждающая право обучать в системе содействия занятости в Германии)
Допустимые искажения и распознавания:
AZAV — ацетафау, азав, ацэав, а-зав
Akkreditierung — аккредитирунг, аккредитерунг, акритирунг
Zulassung — зуласунг, зуласинг, зюляссен
Verordnung — ферорднунг, верортнунг
Arbeitsförderung — арбайтсфердерунг, арбайтсфёрунг и т. п.
Если ИИ по смыслу понимает, что речь о правильном документе — это допустимо.
Цель критерия — зафиксировать не только неиспользованные, но и недостающие УТП, чтобы в будущем адаптировать продукт и скрипты под реальные ожидания клиентов.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</si>
  <si>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38. Потеря клиента на этапе оплаты</t>
  </si>
  <si>
    <t>[1] – Разговор шёл позитивно, но на этапе оплаты Клиент отказался, отложил решение или ушёл в неопределённость.
[0] – Клиент дал согласие, проявил готовность к оплате или согласовал понятный следующий шаг, ведущий к продаже (например: обсудили формат, договорились о звонке для оплаты, зафиксировали план действий).
В поле reasons напиши:
А) Как завершился разговор Прозвучал ли отказ, сомнение или отложенное решение
Б) Что именно Клиент сказал на этапе оплаты — сформулируй дословно или по смыслу
В) Что сделал или не сделал Продавец:
 – были ли ошибки (не озвучил выгоды оплаты, не уточнил комфортный способ, не зафиксировал шаг)
 – чего не хватило: аргумента, поддержки, срочности
Г) Придумай одну тактику, фразу или шаг, который мог бы изменить ситуацию (например: “если бы Продавец уточнил, какие именно условия оплаты вызывают сомнение…”)
Если оценка [0], то в reasons напиши:
– Почему Клиент согласился (что сработало)
– Что сделал Продавец правильно
Этот критерий показывает, где “падает” горячий клиент — из-за нерешённого возражения, неуверенности в стоимости, неготовности к оплате, неудачного дожима или просто отсутствия закрывающего вопроса.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</si>
  <si>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39. Экспертный стиль установновления раппорта</t>
  </si>
  <si>
    <t>Проверь, как Продавец устанавливает раппорт с Клиентом: через спокойный «терпеливый авторитет» и активное слушание или через жалобы/обесценивание, которые снижают его статус.
[1] – Продавец строит раппорт через уверенный и экспертный стиль. Использует активное слушание и короткие поддерживающие реплики по делу («поняла», «верно», «я вас услышала»), интересуется ситуацией Клиента, не жалуется на свою занятость или личные проблемы, не переводит фокус на себя. Если Клиент уводит разговор в сторону в ответ на конкретный вопрос Продавца, Продавец вежливо возвращает Клиента к актуальной теме/вопросу и удерживает структуру диалога. Возникает ощущение спокойной, авторитетной связи.
[0] – Продавец пытается установить раппорт через жалобы на занятость, количество клиентов, нехватку времени или другие сложности («я весь день на звонках», «у меня очередь желающих» и т.п.), либо чрезмерную фамильярность, что звучит непрофессионально и снижает его статус. Также сюда отнеси случаи, когда раппорт не выстраивается: Продавец звучит холодно, формально, не проявляет интереса к человеку; либо не возвращает Клиента к теме и теряет управление разговором.
[Пусто] – звонок слишком короткий или технический (например, только перенос времени), нет реальной возможности установить раппорт, по фрагменту нельзя сделать вывод о стиле общения.
В обосновании опиши, какими фразами и приёмами Продавец устанавливал (или не устанавливал) раппорт, было ли активное слушание или жалобы на занятость, как Продавец возвращал Клиента к теме (если уводил), приведи 2–4 цитаты, которые лучше всего показывают его стиль и то, как это могло влиять на восприятие Клиентом.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</si>
  <si>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Рекомендации</t>
  </si>
  <si>
    <t>40. Краткое резюме звонка</t>
  </si>
  <si>
    <t>[Резюме] - данный критерий исключение, в качестве оценки напиши слово Резюме, а в обосновании оценки reason напиши следующее:
Cоставь краткое и структурированное резюме звонка. Оно должно быть лаконичным, понятным и отражать только ключевые моменты.
Обязательно включи:
А) Содержание звонка
– Какие темы и блоки были затронуты
– Обсуждалась ли мотивация, цели, сложности, презентация курса, этап оплаты и т.д.
Б) Реакция Клиента на ключевые моменты
– Была ли она заинтересованной, сомневающейся, позитивной, нейтральной или негативной
– Как Клиент реагировал на презентацию, УТП и предложения
В) Достигнутые договорённости
– Были ли зафиксированы следующие шаги, созвон, выбор даты, интерес к оплате
– Уточни, была ли попытка зафиксировать следующий шаг со стороны Продавца
Это резюме должно помогать быстро понять суть разговора без прослушивания записи.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</si>
  <si>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41. Упоминание конкурентов и реакция Продавца</t>
  </si>
  <si>
    <t>[1] – В разговоре были упомянуты конкуренты (прямо или косвенно), и это повлияло на восприятие Клиентом курса.
[0] – Упоминаний конкурентов в разговоре не было.
В поле reasons напиши:
А) Название конкурента — если было (например, “DeutschAkademie”), или укажи “Безымянный конкурент”, если прозвучало в виде “другая компания”, “там”, “у них”, “дешевле, чем у вас” и т.п.
Б) Причина упоминания — что именно сказал Клиент о конкурентах: цена, формат, гарантии, длительность, отзывы, результаты
В) Как это можно было обыграть — какой аргумент Sternmeister мог бы использовать
Г) Придумай фразу Продавца, которая могла бы перевернуть мнение Клиента
Д) Как бы эта фраза повлияла на решение Клиента (например, снизила тревожность, усилила доверие, добавила выгоду)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</si>
  <si>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42. Рекомендации Продавцу: зоны роста</t>
  </si>
  <si>
    <t>[Рекомендация] - данный критерий исключение, в качестве оценки напиши слово Рекомендация, а в обосновании оценки reason напиши следующее:
Выяви ключевые ошибки Продавца, которые негативно повлияли на ход переговоров, вызвали отказ, снижали интерес или мешали продаже. Выпиши минимум 3 (если есть).
Для каждой ошибки укажи:
– Фраза Продавца – приведи дословную цитату или суть фразы
– Контекст – когда это прозвучало, что сказал Клиент, как отреагировал, к чему это привело
– Как следовало сказать – предложи лучший вариант формулировки
– Ожидаемый эффект – что бы изменилось в разговоре, какую технику ты использовал, как это улучшает восприятие у Клиента
Ошибкой также считается упущение — если Продавец не задал важный вопрос, не сделал дожим, не резюмировал или не уточнил ключевое.
Важно: Игнорируй незначительные мелочи (например, слова-паразиты, оговорки), если они не повлияли на исход.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</si>
  <si>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43. Рекомендации Продавцу: лучшие практики</t>
  </si>
  <si>
    <t>[Рекомендация] - данный критерий исключение, в качестве оценки напиши слово Рекомендация, а в обосновании оценки reason напиши следующее:
Выдели минимум 3 удачные техники или приёма (если есть), которые реально помогли Продавцу продвинуть диалог: снизить сопротивление, вызвать интерес, удержать Клиента, перевернуть сомнение или приблизиться к продаже.
Если таких приемов нет — напиши: «Выраженных удачных техник не выявлено».
Для каждой практики укажи:
– Фраза Продавца – приведи дословную цитату или суть
– Контекст – когда сказано, что было до и после, как отреагировал Клиент
– Почему это сработало – за счёт чего фраза или приём были эффективны
– Техника – какая методология или приём использован (например: "SPIN", "градация приоритетов", "storytelling", "вопрос-ловушка")
– Тип практики:
 – Массовая техника – её можно учить других
 – Индивидуальная техника – уникальная находка, харизма, удачная интонация, нестандартная логика
Отмечай только то, что действительно изменило ход разговора в пользу Продавца (удачные шутки или яркие моменты тоже можно отмечать).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</si>
  <si>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44. Портрет клиента</t>
  </si>
  <si>
    <t>[Рекомендация] - данный критерий исключение, в качестве оценки напиши слово Рекомендация, а в обосновании оценки reason напиши следующее:
На основе всей транскрипции составь подробный, но лаконичный портрет Клиента. Сконцентрируйся на том, что можно использовать для улучшения продаж, продукта и маркетинга. Структура ответа обязательна.
А) Психологический и демографический портрет Клиента
– Какой у Клиента темперамент, стиль принятия решений, степень уверенности
– Проявлял ли инициативу, сомнение, страх, интерес — приведи цитаты
– Есть ли особенности поведения: уточняет, игнорирует и тп
– Укажи имя Клиента и любые контактные данные, если были озвучены
Б) Цели и приоритеты Клиента
– Какие задачи он хочет решить: смена профессии, повышение дохода, стабильность, уверенность
– Какие боли и страхи звучали — страх не справиться, не найти работу, зря потратить деньги
– Что он хочет получить от курса и в какие сроки
– Приведи цитаты, подтверждающие мотивацию
В) Дополнительные характеристики и предложения
– Что можно извлечь из этого кейса для маркетинга (например, формулировки, триггеры, термины, каналы)
– Какие УТП сработали бы сильнее
– Какие фичи, бонусы, способы оплаты, форматы сопровождения могли бы повлиять
– Что это говорит о сегменте/персоне/рынке — можно ли масштабировать
Используй этот критерий как исследовательскую сводку: он помогает находить точки роста для всего бизнеса — от скрипта до упаковки продукта.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</si>
  <si>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Фильтры</t>
  </si>
  <si>
    <t>45. Сбой или прерывание разговора</t>
  </si>
  <si>
    <t>[1] – если звонок был прерван до логического завершения.
Сюда относятся случаи, когда:
– разговор закончился резко, не было логичного прощания вроде "до свидания, всего хорошего" и финальных фраз
– видно, что диалог ещё шёл, но внезапно прервался
– Клиент сказал, что сейчас не может говорить или попросил перезвонить позже
– слышны сбои связи, обрывы, долгие паузы, и разговор завершился неестественно
[0] – если разговор был полноценным и завершился логично.
Сюда относятся ситуации, когда:
– участники попрощались
– разговор завершён финальной фразой, даже если Клиент отказался от покупки
– в разговоре не было технических сбоев и он шёл до конца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</si>
  <si>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46. Звонок после прерывания</t>
  </si>
  <si>
    <t>Проверь, является ли звонок продолжением предыдущего общения (в том числе после обрыва связи или короткой первой попытки), либо это новый первичный контакт. Оцени только первые 1–3 минуты разговора. 
Ставь [1], если есть хоть один из признаков:
– звонок является продолжением предыдущего общения, даже если в начале есть формальное приветствие. 
– отсутствует стандартное приветствие и полное представление: Продавец не называет компанию Sternmeister, имя и должность (менеджер приемной комиссии), не поясняет зачем звонит
– Продавец сразу переходит к сути, задаёт уточняющие вопросы, обсуждает детали сделки/покупки или проводит презентацию
– есть прямые отсылки к прошлому контакту: «давайте продолжим», «на чём мы остановились»
– есть упоминания обрыва связи в начале диалога: «нас выбило», «извините, связь оборвалась...», «связь прервалась, давайте продолжим»
– Клиент подтверждает вначале диалога, что уже было какое-то общение: «да-да, давайте продолжим», «да, что-то видимо со связью»
[0] – звонок является первичным контактом. 
Все признаки нового общения:
– Присутствует стандартное приветствие и полное представление: Продавец говорит, что звонит из компании Sternmeister, называвт свое имя и должность, поясняет зачем звонит
– Продавец уточняет, удобно ли Клиенту говорить
– Озвучивает план разговора, просит клиента рассказать о себе
– нет отсылок к прошлому разговору, обрыву связи или общению в прошлом, Продавец общается с этим Клиентом впервые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</si>
  <si>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47. Продавец не слышит или затягивает разговор</t>
  </si>
  <si>
    <t>[1] – если Клиент сообщил, что хочет пройти обучение через государственную субсидию (например, через Gutschein / Jobcenter), или упомянул процесс оформления через Berater-а (консультанта), или сказал, что ему нужно предложение (Angebot) для подачи заявки.
Всё это признаки, что он не хочет оплачивать курс сам, а рассчитывает на финансирование через государственные программы.
Допустимые формулировки (могут звучать с ошибками, допускается транскрипционная неточность): – Клиент упоминает Gutschein (может звучать как гутшайн, гудшайн, гучайн и т. п.)
– Упоминается Jobcenter (центр занятости, может быть сказано по-немецки или в вольной форме)
– Упоминается Berater (бератор — консультант, куратор от Jobcenter)
– Прозвучала фраза «мне нужно предложение / Angebot», «мне нужно подтверждение для бератора», «мой бератор ждёт от вас оффер» и т. п.
[0] – если ни одна из тем выше не поднималась: – Клиент не говорил о субсидиях, Jobcenter, Gutschein
– В разговоре не было упоминаний Berater-а, предложения (Angebot) или оформления через государственную программу
– Клиент явно говорит, что будет оплачивать самостоятельно, или обсуждение идёт только про оплату и рассрочку от самой компании
Важно: даже если Продавец упоминает Gutschein сам, но Клиент не подтверждает интерес, это не считается [1].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</si>
  <si>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Скоринг</t>
  </si>
  <si>
    <t>48. Срочность</t>
  </si>
  <si>
    <t xml:space="preserve">Проверь, готов ли Клиент начать обучение в ближайшие 2 недели. Оцени выраженность готовности на основе всего диалога, включая подтверждения, уверенные ответы и мотивацию.
[0-10] — Присвой оценку по шкале от 0 до 10:
– [10] — если Клиент явно выражает готовность приступить в ближайшие 2 недели (например, "да, я хочу начать как можно скорее", "готов прямо сейчас").
– [5-9] — если Клиент говорит об этом с осторожностью или обсуждает, что пока рассматривает, но настроен позитивно.
– [1-4] — если Клиент сомневается, говорит о необходимости подумать, обсудить с кем-то, но не закрывает вариант обучения.
– [0] — если Клиент явно говорит, что не готов начинать в ближайшее время или категорически отказывается.
– [Пусто] — если вопрос срочности не обсуждался в разговоре.
В reasons укажи:
– Примеры реплик Клиента, указывающие на его готовность или отсутствие готовности.
– Контекст, в котором прозвучали эти слова.
– Твой вывод, почему именно такая оценка.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 </t>
  </si>
  <si>
    <t>49. Платежеспособность</t>
  </si>
  <si>
    <t>Проверь, готов ли Клиент оплачивать курс самостоятельно (полная оплата или рассрочка), или он намерен использовать только гос. субсидии (Gutschein, Jobcenter).
[0-10] — Присвой оценку по шкале от 0 до 10:
– [10] — если Клиент готов оплачивать полностью или через рассрочку, демонстрируя уверенность в этом.
– [5-9] — если обсуждалась рассрочка или другие способы оплаты, но Клиент не выразил полной уверенности.
– [1-4] — если Клиент неуверенно говорит о возможности оплатить, обсуждает Jobcenter, но рассматривает и личную оплату.
– [0] — если Клиент явно заявляет, что не сможет оплатить или хочет только через гос. субсидию.
– [Пусто] — если тема оплаты вообще не обсуждалась в разговоре.
В reasons укажи:
– Реплики Клиента, указывающие на готовность или отсутствие готовности оплатить.
– Контекст, в котором обсуждались способы оплаты.
– Твой вывод, почему именно такая оценка.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</si>
  <si>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50. Потребность</t>
  </si>
  <si>
    <t>Проверь, понимает ли Клиент ценность обучения для себя и готов ли учиться. Оцени выраженность потребности на основе диалога.
[0-10] — Присвой оценку по шкале от 0 до 10:
– [10] — если Клиент явно понимает, зачем ему обучение, говорит об этом уверенно и мотивированно.
– [5-9] — если обсуждает обучение, но с сомнениями или осторожностью.
– [1-4] — если говорит о возможной потребности, но не уверен в необходимости обучения.
– [0] — если явно говорит, что не видит ценности или не хочет учиться.
– [Пусто] — если вопрос необходимости обучения не поднимался в разговоре.
В reasons укажи:
– Цитаты Клиента, которые раскрывают его отношение к обучению.
– Контекст обсуждения этой темы.
– Твой вывод, почему именно такая оценка.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</si>
  <si>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51. Итоговый скоринг</t>
  </si>
  <si>
    <t>[0-30] — Суммарное значение оценки по критериям 47,48 и 49. 
Если в каком-то из критериев 47-49 оценка "Пусто", то она суммируется как 0.
Для примера приведу расчет, считаем сумму трех оценок 47,48,49 критерия: 5 + 2 + Пусто = 5 + 2 + 0 = 7, тогда оценка данного критерия итогового скоринга - 7
В reasons укажи:
– Сумму оценок по каждому критерию.
– Примеры реплик, которые повлияли на общую оценку.
– Общий вывод по скорингу клиента в формате: "Высокая готовность / Средняя готовность / Низкая готовность".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</si>
  <si>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number</t>
  </si>
  <si>
    <t>call_name</t>
  </si>
  <si>
    <t>transcription</t>
  </si>
  <si>
    <t>default_call_week</t>
  </si>
  <si>
    <t>id_item_set</t>
  </si>
  <si>
    <t>real_file_duration</t>
  </si>
  <si>
    <t>item_set_created_at</t>
  </si>
  <si>
    <t>item_set_updated_at</t>
  </si>
  <si>
    <t>month_of_processing</t>
  </si>
  <si>
    <t>call_parts_count</t>
  </si>
  <si>
    <t>call_date</t>
  </si>
  <si>
    <t>call_duration</t>
  </si>
  <si>
    <t>call_id</t>
  </si>
  <si>
    <t>call_phone</t>
  </si>
  <si>
    <t>call_source</t>
  </si>
  <si>
    <t>call_time</t>
  </si>
  <si>
    <t>call_type</t>
  </si>
  <si>
    <t>call_week</t>
  </si>
  <si>
    <t>contact_id</t>
  </si>
  <si>
    <t>contact_name</t>
  </si>
  <si>
    <t>contact_type</t>
  </si>
  <si>
    <t>lead_created_at</t>
  </si>
  <si>
    <t>lead_id</t>
  </si>
  <si>
    <t>field_866934</t>
  </si>
  <si>
    <t>lead_name</t>
  </si>
  <si>
    <t>lead_pipeline</t>
  </si>
  <si>
    <t>lead_status</t>
  </si>
  <si>
    <t>lead_url</t>
  </si>
  <si>
    <t>user_id</t>
  </si>
  <si>
    <t>user_name</t>
  </si>
  <si>
    <t>score_0</t>
  </si>
  <si>
    <t>reason_0</t>
  </si>
  <si>
    <t>quote_0</t>
  </si>
  <si>
    <t>score_1</t>
  </si>
  <si>
    <t>reason_1</t>
  </si>
  <si>
    <t>quote_1</t>
  </si>
  <si>
    <t>score_2</t>
  </si>
  <si>
    <t>reason_2</t>
  </si>
  <si>
    <t>quote_2</t>
  </si>
  <si>
    <t>score_3</t>
  </si>
  <si>
    <t>reason_3</t>
  </si>
  <si>
    <t>quote_3</t>
  </si>
  <si>
    <t>score_4</t>
  </si>
  <si>
    <t>reason_4</t>
  </si>
  <si>
    <t>quote_4</t>
  </si>
  <si>
    <t>score_5</t>
  </si>
  <si>
    <t>reason_5</t>
  </si>
  <si>
    <t>quote_5</t>
  </si>
  <si>
    <t>score_6</t>
  </si>
  <si>
    <t>reason_6</t>
  </si>
  <si>
    <t>quote_6</t>
  </si>
  <si>
    <t>score_7</t>
  </si>
  <si>
    <t>reason_7</t>
  </si>
  <si>
    <t>quote_7</t>
  </si>
  <si>
    <t>score_8</t>
  </si>
  <si>
    <t>reason_8</t>
  </si>
  <si>
    <t>quote_8</t>
  </si>
  <si>
    <t>score_9</t>
  </si>
  <si>
    <t>reason_9</t>
  </si>
  <si>
    <t>quote_9</t>
  </si>
  <si>
    <t>score_10</t>
  </si>
  <si>
    <t>reason_10</t>
  </si>
  <si>
    <t>quote_10</t>
  </si>
  <si>
    <t>score_11</t>
  </si>
  <si>
    <t>reason_11</t>
  </si>
  <si>
    <t>quote_11</t>
  </si>
  <si>
    <t>score_12</t>
  </si>
  <si>
    <t>reason_12</t>
  </si>
  <si>
    <t>quote_12</t>
  </si>
  <si>
    <t>score_13</t>
  </si>
  <si>
    <t>reason_13</t>
  </si>
  <si>
    <t>quote_13</t>
  </si>
  <si>
    <t>score_14</t>
  </si>
  <si>
    <t>reason_14</t>
  </si>
  <si>
    <t>quote_14</t>
  </si>
  <si>
    <t>score_15</t>
  </si>
  <si>
    <t>reason_15</t>
  </si>
  <si>
    <t>quote_15</t>
  </si>
  <si>
    <t>score_16</t>
  </si>
  <si>
    <t>reason_16</t>
  </si>
  <si>
    <t>quote_16</t>
  </si>
  <si>
    <t>score_17</t>
  </si>
  <si>
    <t>reason_17</t>
  </si>
  <si>
    <t>quote_17</t>
  </si>
  <si>
    <t>score_18</t>
  </si>
  <si>
    <t>reason_18</t>
  </si>
  <si>
    <t>quote_18</t>
  </si>
  <si>
    <t>score_19</t>
  </si>
  <si>
    <t>reason_19</t>
  </si>
  <si>
    <t>quote_19</t>
  </si>
  <si>
    <t>score_20</t>
  </si>
  <si>
    <t>reason_20</t>
  </si>
  <si>
    <t>quote_20</t>
  </si>
  <si>
    <t>score_21</t>
  </si>
  <si>
    <t>reason_21</t>
  </si>
  <si>
    <t>quote_21</t>
  </si>
  <si>
    <t>score_22</t>
  </si>
  <si>
    <t>reason_22</t>
  </si>
  <si>
    <t>quote_22</t>
  </si>
  <si>
    <t>score_23</t>
  </si>
  <si>
    <t>reason_23</t>
  </si>
  <si>
    <t>quote_23</t>
  </si>
  <si>
    <t>score_24</t>
  </si>
  <si>
    <t>reason_24</t>
  </si>
  <si>
    <t>quote_24</t>
  </si>
  <si>
    <t>score_25</t>
  </si>
  <si>
    <t>reason_25</t>
  </si>
  <si>
    <t>quote_25</t>
  </si>
  <si>
    <t>score_26</t>
  </si>
  <si>
    <t>reason_26</t>
  </si>
  <si>
    <t>quote_26</t>
  </si>
  <si>
    <t>score_27</t>
  </si>
  <si>
    <t>reason_27</t>
  </si>
  <si>
    <t>quote_27</t>
  </si>
  <si>
    <t>score_28</t>
  </si>
  <si>
    <t>reason_28</t>
  </si>
  <si>
    <t>quote_28</t>
  </si>
  <si>
    <t>score_29</t>
  </si>
  <si>
    <t>reason_29</t>
  </si>
  <si>
    <t>quote_29</t>
  </si>
  <si>
    <t>score_30</t>
  </si>
  <si>
    <t>reason_30</t>
  </si>
  <si>
    <t>quote_30</t>
  </si>
  <si>
    <t>score_31</t>
  </si>
  <si>
    <t>reason_31</t>
  </si>
  <si>
    <t>quote_31</t>
  </si>
  <si>
    <t>score_32</t>
  </si>
  <si>
    <t>reason_32</t>
  </si>
  <si>
    <t>quote_32</t>
  </si>
  <si>
    <t>score_33</t>
  </si>
  <si>
    <t>reason_33</t>
  </si>
  <si>
    <t>quote_33</t>
  </si>
  <si>
    <t>score_34</t>
  </si>
  <si>
    <t>reason_34</t>
  </si>
  <si>
    <t>quote_34</t>
  </si>
  <si>
    <t>score_35</t>
  </si>
  <si>
    <t>reason_35</t>
  </si>
  <si>
    <t>quote_35</t>
  </si>
  <si>
    <t>score_36</t>
  </si>
  <si>
    <t>reason_36</t>
  </si>
  <si>
    <t>quote_36</t>
  </si>
  <si>
    <t>score_37</t>
  </si>
  <si>
    <t>reason_37</t>
  </si>
  <si>
    <t>quote_37</t>
  </si>
  <si>
    <t>score_38</t>
  </si>
  <si>
    <t>reason_38</t>
  </si>
  <si>
    <t>quote_38</t>
  </si>
  <si>
    <t>score_39</t>
  </si>
  <si>
    <t>reason_39</t>
  </si>
  <si>
    <t>quote_39</t>
  </si>
  <si>
    <t>score_40</t>
  </si>
  <si>
    <t>reason_40</t>
  </si>
  <si>
    <t>quote_40</t>
  </si>
  <si>
    <t>score_41</t>
  </si>
  <si>
    <t>reason_41</t>
  </si>
  <si>
    <t>quote_41</t>
  </si>
  <si>
    <t>score_42</t>
  </si>
  <si>
    <t>reason_42</t>
  </si>
  <si>
    <t>quote_42</t>
  </si>
  <si>
    <t>score_43</t>
  </si>
  <si>
    <t>reason_43</t>
  </si>
  <si>
    <t>quote_43</t>
  </si>
  <si>
    <t>score_44</t>
  </si>
  <si>
    <t>reason_44</t>
  </si>
  <si>
    <t>quote_44</t>
  </si>
  <si>
    <t>score_45</t>
  </si>
  <si>
    <t>reason_45</t>
  </si>
  <si>
    <t>quote_45</t>
  </si>
  <si>
    <t>score_46</t>
  </si>
  <si>
    <t>reason_46</t>
  </si>
  <si>
    <t>quote_46</t>
  </si>
  <si>
    <t>score_47</t>
  </si>
  <si>
    <t>reason_47</t>
  </si>
  <si>
    <t>quote_47</t>
  </si>
  <si>
    <t>score_48</t>
  </si>
  <si>
    <t>reason_48</t>
  </si>
  <si>
    <t>quote_48</t>
  </si>
  <si>
    <t>score_49</t>
  </si>
  <si>
    <t>reason_49</t>
  </si>
  <si>
    <t>quote_49</t>
  </si>
  <si>
    <t>score_50</t>
  </si>
  <si>
    <t>reason_50</t>
  </si>
  <si>
    <t>quote_50</t>
  </si>
  <si>
    <t>175 // CL 46, 
PR 82___94c64a</t>
  </si>
  <si>
    <t>61 с 27</t>
  </si>
  <si>
    <t>153 тот</t>
  </si>
  <si>
    <t>CRM</t>
  </si>
  <si>
    <t>Номер</t>
  </si>
  <si>
    <t>Название файла звонка</t>
  </si>
  <si>
    <t>Транскрипция</t>
  </si>
  <si>
    <t>Неделя звонка</t>
  </si>
  <si>
    <t>Item Set ID</t>
  </si>
  <si>
    <t>Real File Duration</t>
  </si>
  <si>
    <t>Дата создания сета</t>
  </si>
  <si>
    <t>Дата анализа</t>
  </si>
  <si>
    <t>Месяц анализа</t>
  </si>
  <si>
    <t>Количество частей</t>
  </si>
  <si>
    <t>Дата звонка</t>
  </si>
  <si>
    <t>Длительность</t>
  </si>
  <si>
    <t>ID звонка</t>
  </si>
  <si>
    <t>Телефон</t>
  </si>
  <si>
    <t>Источник</t>
  </si>
  <si>
    <t>Время звонка</t>
  </si>
  <si>
    <t>Тип звонка</t>
  </si>
  <si>
    <t>Номер недели</t>
  </si>
  <si>
    <t>ID контакта</t>
  </si>
  <si>
    <t>ФИО контакта</t>
  </si>
  <si>
    <t>Тип контакта</t>
  </si>
  <si>
    <t>Дата создания сделки</t>
  </si>
  <si>
    <t>ID сделки</t>
  </si>
  <si>
    <t>Категория</t>
  </si>
  <si>
    <t>Название сделки</t>
  </si>
  <si>
    <t>Воронка сделки</t>
  </si>
  <si>
    <t>Этап сделки</t>
  </si>
  <si>
    <t>Ссылка на сделку</t>
  </si>
  <si>
    <t>ID менеджера</t>
  </si>
  <si>
    <t>ФИО менеджера</t>
  </si>
  <si>
    <t>1 1. Приветствие и установление контакта</t>
  </si>
  <si>
    <t>1 1. Приветствие и установление контакта ПРИЧИНА</t>
  </si>
  <si>
    <t>1 Цитата</t>
  </si>
  <si>
    <t>2 2. Озвучен план разговора (программирование)</t>
  </si>
  <si>
    <t>2 2. Озвучен план разговора (программирование) Причина</t>
  </si>
  <si>
    <t>2 Цитата</t>
  </si>
  <si>
    <t>3 3. Корректная отработка вопроса о стоимости (если он прозвучал)</t>
  </si>
  <si>
    <t>3 Цитата</t>
  </si>
  <si>
    <t>4 4. Корректная отработка вопроса о JobCenter (если он прозвучал)</t>
  </si>
  <si>
    <t>4 4. Корректная отработка вопроса о JobCenter (если он прозвучал)
 Причина</t>
  </si>
  <si>
    <t>4 Цитата</t>
  </si>
  <si>
    <t>5 5. Small talk и установление контакта</t>
  </si>
  <si>
    <t>5 Причина</t>
  </si>
  <si>
    <t>5 Цитата</t>
  </si>
  <si>
    <t>6 6. Точка А (выявить и усилить боль)</t>
  </si>
  <si>
    <t>6 Причина</t>
  </si>
  <si>
    <t>6 Цитата</t>
  </si>
  <si>
    <t>7 7. Ситуативные вопросы в Точке А</t>
  </si>
  <si>
    <t>7 Причина</t>
  </si>
  <si>
    <t>7 Цитата</t>
  </si>
  <si>
    <t>8 8. Точка В (ожидания, готовность, срочность)</t>
  </si>
  <si>
    <t>8 Причина</t>
  </si>
  <si>
    <t>8 Цитата</t>
  </si>
  <si>
    <t>9 9. Уточнение SMART-целей Клиента</t>
  </si>
  <si>
    <t>9 Причина</t>
  </si>
  <si>
    <t>9 Цитата</t>
  </si>
  <si>
    <t>10 10. Преимущества профессии Бухгалтера</t>
  </si>
  <si>
    <t>10 Причина</t>
  </si>
  <si>
    <t>10 Цитата</t>
  </si>
  <si>
    <t>11 11. Резюмирование целей и сроков перед презентацией</t>
  </si>
  <si>
    <t>11 Причина</t>
  </si>
  <si>
    <t>11 Цитата</t>
  </si>
  <si>
    <t>12 12. Презентация проведена с опорой на цели и запрос Клиента</t>
  </si>
  <si>
    <t>12 Причина</t>
  </si>
  <si>
    <t>12 Цитата</t>
  </si>
  <si>
    <t>13 13. Презентация проведена в формате диалога, с вовлечением Клиента</t>
  </si>
  <si>
    <t>13 Причина</t>
  </si>
  <si>
    <t>13 Цитата</t>
  </si>
  <si>
    <t>14 14. Что откликнулось Клиенту в презентации и готовность клиента начать</t>
  </si>
  <si>
    <t>14 Причина</t>
  </si>
  <si>
    <t>14 Цитата</t>
  </si>
  <si>
    <t>15 Причина</t>
  </si>
  <si>
    <t>15 Цитата</t>
  </si>
  <si>
    <t>16 Причина</t>
  </si>
  <si>
    <t>16 Цитата</t>
  </si>
  <si>
    <t>16 16. Какие возражения озвучил Клиент (теги)</t>
  </si>
  <si>
    <t>17 17. Сколько возражений отработал Продавец и насколько корректно</t>
  </si>
  <si>
    <t>17 Причина</t>
  </si>
  <si>
    <t>17 Цитата</t>
  </si>
  <si>
    <t>18 18. Продавец корректно отработал ложные возражения (“подумаю”, “посоветуюсь”, “не сейчас”)</t>
  </si>
  <si>
    <t>18 Причина</t>
  </si>
  <si>
    <t>18 Цитата</t>
  </si>
  <si>
    <t>19 19. Какие техники отработки возражений стоило бы применить Продавцу</t>
  </si>
  <si>
    <t>19 Причина</t>
  </si>
  <si>
    <t>19 Цитата</t>
  </si>
  <si>
    <t>20 20. Как Продавец отработал вопросы Клиента (не только возражения)</t>
  </si>
  <si>
    <t>20 Причина</t>
  </si>
  <si>
    <t>20 Цитата</t>
  </si>
  <si>
    <t>21 21. Продавец порекомендовал вариант оплаты и дал аргументацию</t>
  </si>
  <si>
    <t>21 Причина</t>
  </si>
  <si>
    <t>21 Цитата</t>
  </si>
  <si>
    <t>22 22. Продавец узнал, подходит ли предложенный вариант оплаты Клиенту</t>
  </si>
  <si>
    <t>22 Причина</t>
  </si>
  <si>
    <t>22 Цитата</t>
  </si>
  <si>
    <t>23 23. Продавец рассказал о способах оплаты</t>
  </si>
  <si>
    <t>23 Причина</t>
  </si>
  <si>
    <t>23 Цитата</t>
  </si>
  <si>
    <t>24 Причина</t>
  </si>
  <si>
    <t>24 Цитата</t>
  </si>
  <si>
    <t>25 25. Следующие шаги</t>
  </si>
  <si>
    <t>25 Причина</t>
  </si>
  <si>
    <t>25 Цитата</t>
  </si>
  <si>
    <t>26 26. Применение сторителлинга</t>
  </si>
  <si>
    <t>26 Причина</t>
  </si>
  <si>
    <t>26 Цитата</t>
  </si>
  <si>
    <t>27 27. Общая доброжелательность и вежливость Продавца</t>
  </si>
  <si>
    <t>27 Причина</t>
  </si>
  <si>
    <t>27 Цитата</t>
  </si>
  <si>
    <t>28 28. Продавец использовал активное слушание и отзеркаливание Клиента</t>
  </si>
  <si>
    <t>28 Причина</t>
  </si>
  <si>
    <t>28 Цитата</t>
  </si>
  <si>
    <t>29 29. Продавец был корректен и сохранял самоконтроль</t>
  </si>
  <si>
    <t>29 Причина</t>
  </si>
  <si>
    <t>29 Цитата</t>
  </si>
  <si>
    <t>30 30. Критические ошибки с точки зрения компании</t>
  </si>
  <si>
    <t>30 Причина</t>
  </si>
  <si>
    <t>30 Цитата</t>
  </si>
  <si>
    <t>31 31. Критические ошибки с точки зрения клиента</t>
  </si>
  <si>
    <t>31 Причина</t>
  </si>
  <si>
    <t>31 Цитата</t>
  </si>
  <si>
    <t>32 32. Критические ошибки с точки зрения закона</t>
  </si>
  <si>
    <t>32 Причина</t>
  </si>
  <si>
    <t>32 Цитата</t>
  </si>
  <si>
    <t>33 33. Talk ratio Продавца</t>
  </si>
  <si>
    <t>33 Причина</t>
  </si>
  <si>
    <t>33 Цитата</t>
  </si>
  <si>
    <t>34 34. Оценка звонка по международным методологиям</t>
  </si>
  <si>
    <t>34 Причина</t>
  </si>
  <si>
    <t>34 Цитата</t>
  </si>
  <si>
    <t>35 35. Структура звонка: фактический скрипт, который применил Продавец</t>
  </si>
  <si>
    <t>35 Причина</t>
  </si>
  <si>
    <t>35 Цитата</t>
  </si>
  <si>
    <t>36 36. Что заставит этого Клиента купить (тип, реакция и болеутоляющая формула)</t>
  </si>
  <si>
    <t>36 Причина</t>
  </si>
  <si>
    <t>36 Цитата</t>
  </si>
  <si>
    <t>37 37. Неиспользованные УТП, которые могли бы повлиять</t>
  </si>
  <si>
    <t>37 Причина</t>
  </si>
  <si>
    <t>37 Цитата</t>
  </si>
  <si>
    <t>38 38. Потеря клиента на этапе оплаты</t>
  </si>
  <si>
    <t>38 Причина</t>
  </si>
  <si>
    <t>38 Цитата</t>
  </si>
  <si>
    <t>39 Причина</t>
  </si>
  <si>
    <t>39 Цитата</t>
  </si>
  <si>
    <t>40 40. Краткое резюме звонка</t>
  </si>
  <si>
    <t>40 40. Упоминание конкурентов и реакция Продавца</t>
  </si>
  <si>
    <t>40 Причина</t>
  </si>
  <si>
    <t>40 Цитата</t>
  </si>
  <si>
    <t>41 41. Рекомендации Продавцу: зоны роста</t>
  </si>
  <si>
    <t>41 Причина</t>
  </si>
  <si>
    <t>41 Цитата</t>
  </si>
  <si>
    <t>42 42. Рекомендации Продавцу: лучшие практики</t>
  </si>
  <si>
    <t>42 Причина</t>
  </si>
  <si>
    <t>42 Цитата</t>
  </si>
  <si>
    <t>43 43. Портрет клиента</t>
  </si>
  <si>
    <t>43 Причина</t>
  </si>
  <si>
    <t>43 Цитата</t>
  </si>
  <si>
    <t>44 44. Сбой или прерывание разговора</t>
  </si>
  <si>
    <t>44 Причина</t>
  </si>
  <si>
    <t>44 Цитата</t>
  </si>
  <si>
    <t>45 45. Звонок после прерывания</t>
  </si>
  <si>
    <t>45 Причина</t>
  </si>
  <si>
    <t>45 Цитата</t>
  </si>
  <si>
    <t>46 46. Продавец не слышит или затягивает разговор</t>
  </si>
  <si>
    <t>46 Причина</t>
  </si>
  <si>
    <t>46 Цитата</t>
  </si>
  <si>
    <t>47 47. Срочность</t>
  </si>
  <si>
    <t>47 Причина</t>
  </si>
  <si>
    <t>47 Цитата</t>
  </si>
  <si>
    <t>48 48. Платежеспособность</t>
  </si>
  <si>
    <t>48 Причина</t>
  </si>
  <si>
    <t>48 Цитата</t>
  </si>
  <si>
    <t>49 49. Потребность</t>
  </si>
  <si>
    <t>49 Причина</t>
  </si>
  <si>
    <t>49 Цитата</t>
  </si>
  <si>
    <t>50 50. Итоговый скоринг</t>
  </si>
  <si>
    <t>50 Причина</t>
  </si>
  <si>
    <t>50 Цитата</t>
  </si>
  <si>
    <t>Итоговый процент за звонок</t>
  </si>
  <si>
    <t>Длительность (мин)</t>
  </si>
  <si>
    <t>Группы Итог скоринга</t>
  </si>
  <si>
    <t>Группы Срочность</t>
  </si>
  <si>
    <t>Группы Платежеспособность</t>
  </si>
  <si>
    <t>Группы Потребность</t>
  </si>
  <si>
    <t>Месяц</t>
  </si>
  <si>
    <t>172471940_1816745793_1f2ee2</t>
  </si>
  <si>
    <t>https://docs.google.com/document/d/1wi9p93DNcOQ93kH_4AzYMf40jy5CTXDeq5KrBEOG2NA/edit?usp=drivesdk</t>
  </si>
  <si>
    <t>2025-06-30 - 2025-07-06</t>
  </si>
  <si>
    <t>2025.07</t>
  </si>
  <si>
    <t>2025-07-05</t>
  </si>
  <si>
    <t>172471940_1816745793</t>
  </si>
  <si>
    <t>+491754495379, Статус: Разговор состоялся</t>
  </si>
  <si>
    <t>CallGear</t>
  </si>
  <si>
    <t>11:02:00+02:00</t>
  </si>
  <si>
    <t>Исходящий</t>
  </si>
  <si>
    <t>Ulya Alakbarova</t>
  </si>
  <si>
    <t>Контакт</t>
  </si>
  <si>
    <t>2025-07-05T10:43:28+02:00</t>
  </si>
  <si>
    <t>Lead from: https://sternmeister.de/education?utm_source=facebook&amp;utm_id=lp_short&amp;utm_medium=site_nikita&amp;utm_campaign=nikita_mainfunnel_education_3&amp;utm_term=lal2_qual_noage_noint_nolang_3&amp;utm_content=video5_newcreo_main&amp;fbclid=PAZXh0bgNhZW0BMABhZGlkAasgu16</t>
  </si>
  <si>
    <t>Pipeline</t>
  </si>
  <si>
    <t>Новый лид</t>
  </si>
  <si>
    <t>https://sternmeister.kommo.com/leads/detail/12651206</t>
  </si>
  <si>
    <t>Антон Громов</t>
  </si>
  <si>
    <t>Продавец полностью соблюдает структуру приветствия. Он поздоровался, представился (Антон), назвал компанию (Штермейстер), указал причину звонка (по поводу бухгалтерии) и получил подтверждение от клиента. Все необходимые элементы присутствуют.</t>
  </si>
  <si>
    <t>00:00:02.97 - Продавец: Здравствуйте, это Антон из Штермейстера. По поводу бухгалтерии звоню. Интересовались учебой, верно?, 00:00:08.81 - Клиент: Да.</t>
  </si>
  <si>
    <t>Продавец четко озвучил план разговора, включив все необходимые смысловые блоки: уточнил удобство времени, объяснил структуру беседы (познакомимся, обсудим цели, расскажу про обучение), и подготовил к принятию решения (если подойдем друг к другу, помогу зачислиться).</t>
  </si>
  <si>
    <t>00:00:10.03 - Продавец: Вам сейчас удобно побеседовать? Примерно? Хорошо. Тогда познакомимся, обсудим ваши цели, задачи. Я подробнее расскажу про обучение, про все наши условия. Если друг к другу подойдем, тогда помогу зачислиться. Вот такой формат, договорились?, 00:00:31.40 - Клиент: Да.</t>
  </si>
  <si>
    <t/>
  </si>
  <si>
    <t>Клиент задал вопрос о стоимости только в самом конце разговора (17:44), когда уже была проведена презентация и выяснены потребности. Вопрос прозвучал не в начале разговора, поэтому данный критерий неприменим.</t>
  </si>
  <si>
    <t>00:17:44.00 - Клиент: И еще, пожалуйста, скажите, а сколько будет за 7 месяцев?</t>
  </si>
  <si>
    <t>Тема JobCenter и финансирования через субсидии не поднималась в разговоре. Клиент не задавал вопросов о Gutschein, Berater или других формах государственного финансирования.</t>
  </si>
  <si>
    <t>Продавец успешно выяснил ключевую информацию о клиенте: сколько лет живет в Германии (10 лет), уровень языка (B1), предыдущий опыт работы (25 лет бухгалтером в Азербайджане), текущую деятельность (клининговая фирма). Контакт установлен эффективно.</t>
  </si>
  <si>
    <t>00:00:32.50 - Продавец: Так, Ульяна, а вы вообще давно в Германии живете?, 00:00:38.58 - Клиент: Десять лет., 00:00:54.24 - Клиент: У меня 25 лет работала. Но не... не в Германии., 00:01:29.34 - Клиент: Ну, у нас своя фирма небольшая, клининговая.</t>
  </si>
  <si>
    <t>Продавец получил информацию по всем элементам Точки А: опыт (25 лет бухгалтером), текущая ситуация (работает в клининге, что ей не нравится), попытки изменить ситуацию (поэтому обратилась к ним), видение решения (вернуться в бухгалтерию). Боль клиента четко выявлена - она устала от неподходящей работы.</t>
  </si>
  <si>
    <t>00:01:53.00 - Клиент: Ну, это не мое. Убираю., 00:02:20.30 - Клиент: Я не люблю., 00:02:36.50 - Клиент: Поэтому я решила к вам написать., 00:02:55.05 - Клиент: Не хочу больше.</t>
  </si>
  <si>
    <t>Продавец задал уточняющие вопросы о влиянии текущей ситуации на жизнь клиента. Он спросил 'как это сказывается на жизни, на вас, на самой?' и 'что значит не мое', выясняя глубину проблемы и ее влияние на клиента.</t>
  </si>
  <si>
    <t>00:02:08.00 - Продавец: А как это сказывается на жизни, на вас, на самой?, 00:02:10.42 - Продавец: Ну, я не совсем понимаю, что значит не мое. Это может быть физически тяжело, или денег мало, или вот что мне не нравится.</t>
  </si>
  <si>
    <t>Продавец получил информацию по всем элементам SMART: цель (вернуться в бухгалтерию), доход (4 тысячи в месяц), значимость (работать в любимой сфере), срок (чем быстрее, тем лучше). Также обсуждалось, что клиент в любом случае будет менять ситуацию.</t>
  </si>
  <si>
    <t>00:05:16.80 - Клиент: Хотелось бы и 4 тысячи в месяц., 00:04:10.30 - Клиент: Чем быстрее, тем лучше., 00:04:40.50 - Клиент: Я в любом случае меняю., 00:04:47.00 - Клиент: хочу в своей любимой работе быть.</t>
  </si>
  <si>
    <t>Хотя клиент дал расплывчатый ответ по срокам ('чем быстрее, тем лучше'), продавец не помог ему сформулировать более конкретные временные рамки. Продавец принял ответ и сам предложил сроки (7 месяцев + 1 месяц на трудоустройство), но не добился от клиента четкого определения желаемых сроков.</t>
  </si>
  <si>
    <t>00:04:10.30 - Клиент: Чем быстрее, тем лучше., 00:04:12.30 - Продавец: Чем быстрее, тем лучше. Но у нас обучение занимает 7 месяцев и трудоустройство примерно в течение еще одного месяца.</t>
  </si>
  <si>
    <t>Продавец упомянул важные преимущества профессии бухгалтера: средний годовой доход (47 тысяч евро), что соответствует требуемым фразам о зарплатах. Хотя он не использовал все возможные фразы о социальном пакете, он применил ключевую информацию о доходах.</t>
  </si>
  <si>
    <t>00:05:36.60 - Продавец: Бухгалтер, который только начинает в Германии, в год в среднем 47 тысяч евро получается. Получается на вычет налогов.</t>
  </si>
  <si>
    <t>Продавец четко резюмировал ключевые моменты: текущую ситуацию клиента (10 лет в Германии, B1, 25 лет опыта, работает в клининге), цели (вернуться в бухгалтерию как можно быстрее), и получил подтверждение правильности понимания от клиента.</t>
  </si>
  <si>
    <t>00:05:46.50 - Продавец: В целом, на самом деле, ключевые моменты мне более-менее понятны. Тогда давайте я кратенько подрезюмирую... Вы мне рассказали про себя, что 10 лет живете в Германии, язык у вас B1, и до этого 25 лет работали бухгалтером... И сейчас работаете в клининговой сфере... и задача стоит вернуться в любимую сферу как можно быстрее. Правильно я вас слышал?</t>
  </si>
  <si>
    <t>Продавец адаптировал презентацию под цели клиента, делая прямые отсылки к ее ситуации: 'У вас стаж 25 лет, прекрасно, вы на 100% подходите', 'мы идем до трудоустройства', 'именно ради работы'. Презентация была четко связана с потребностями клиента.</t>
  </si>
  <si>
    <t>00:07:05.60 - Продавец: У вас стаж 25 лет, прекрасно, вы на 100% подходите., 00:07:05.60 - Продавец: То есть наша задача дать полноценную профессиональную переподготовку, все время сопровождать и помочь с трудоустройством.</t>
  </si>
  <si>
    <t>Продавец вовлекал клиента в диалог, задавая вопросы: 'Вам вообще для себя, как думаете, что важно в преподавателях?', 'Вы с ними знакомы?', 'Вот здесь по языку все ли понятно, все ли подходит?'. Презентация шла в живом формате с активным участием клиента.</t>
  </si>
  <si>
    <t>00:08:00.67 - Продавец: Вам вообще для себя, как думаете, что важно в преподавателях? Какие это должны быть люди?, 00:09:52.90 - Продавец: У нас дверственная программа «Датов» и «Лексус». Вы с ними знакомы?, 00:11:41.33 - Продавец: Вот здесь по языку все ли понятно, все ли подходит?</t>
  </si>
  <si>
    <t>Продавец не задал вопрос о том, что клиенту особенно понравилось в презентации, и не уточнил готовность начать при подходящей стоимости. Клиент сама задала вопрос о стоимости в конце, но продавец не проверил реакцию на презентацию и готовность к началу.</t>
  </si>
  <si>
    <t>00:17:29.42 - Продавец: Мы называемся Штермейстер и обучаем профессии финансового бухгалтера в Германии., 00:17:44.00 - Клиент: И еще, пожалуйста, скажите, а сколько будет за 7 месяцев?</t>
  </si>
  <si>
    <t>Продавец не создал FOMO-эффект. Презентация была завершена без создания ощущения упущенной выгоды или ограниченности предложения. Клиент сразу перешла к вопросу о стоимости без какого-либо воздействия срочности со стороны продавца.</t>
  </si>
  <si>
    <t>00:17:25.25 - Продавец: Также у нас проходит стажировка в реальной компании... Всему этому обучаем., 00:17:44.00 - Клиент: И еще, пожалуйста, скажите, а сколько будет за 7 месяцев?</t>
  </si>
  <si>
    <t>В разговоре клиент не выдвинул возражений против обучения. Единственный вопрос касался стоимости в самом конце разговора, но это был информационный запрос, а не возражение. Разговор прервался до обсуждения цены и потенциальных возражений.</t>
  </si>
  <si>
    <t>Возражения в разговоре не прозвучали, поэтому данный критерий неприменим.</t>
  </si>
  <si>
    <t>Ложных возражений не было в разговоре.</t>
  </si>
  <si>
    <t>А) В данном звонке возражения не прозвучали, поскольку разговор прервался до этапа обсуждения стоимости и принятия решения.
Б) Анализ с точки зрения методик продаж:
- SPIN-продажи: Продавец хорошо выявил ситуацию (S) и проблему (P), но не развил импликации (I) - как текущая ситуация влияет на жизнь клиента в долгосрочной перспективе.
- Challenger Sale: Отсутствовал вызов - продавец не показал клиенту новую перспективу или скрытые проблемы.
- NEAT: Need (потребность) выявлена, Economic impact (экономическое влияние) затронуто поверхностно, Authority (полномочия) и Timeline (временные рамки) проработаны слабо.
В) Примеры фраз для будущих случаев:
1. Для методики SPIN: 'Если ситуация не изменится в следующие 2-3 года, как это повлияет на ваше финансовое положение и самооценку?'
2. Для Challenger: 'Многие думают, что опыт 25 лет - это преимущество, но работодатели в Германии часто видят это как риск устаревших методов'
3. Для создания срочности: 'Каждый месяц без смены профессии - это потеря 3000+ евро потенциального дохода'
Эти подходы помогли бы: укрепить эмоциональную мотивацию, выявить скрытые страхи и создать ощущение важности быстрого решения.</t>
  </si>
  <si>
    <t>А) Вопросы клиента по ходу разговора:
1. 00:09:45.47 - о названии программы ('А какая программа? Как называется программа?')
2. 00:13:12.59 - о названии компании ('как называется, ваша программа... ваша фирма')
3. 00:13:20.80 - о подтверждении в Германии ('И вы прошедшиеся подтвержденные в Германии, да?')
4. 00:16:00.68 - уточнение о стажировке ('Типа как практика, что ли?')
5. 00:17:44.00 - о стоимости ('сколько будет за 7 месяцев?')
Б) Качество ответов:
1. На вопрос о программах - дал четкий ответ: 'Датов и Лексус'
2. О названии компании - ответил полно: 'Штермейстер'
3. О подтверждении - ответ был корректным но кратким
4. О стажировке - подтвердил как практику
5. О стоимости - разговор прервался до ответа
В) Неотвеченные вопросы:
Вопрос о стоимости остался без ответа из-за прерывания разговора. Лучший ответ: 'Стоимость 3500 евро при полной оплате со скидкой 400 евро, или рассрочка без процентов. Но сначала давайте убедимся, что программа вам подходит'
Влияние: Отсутствие ответа о цене не позволило перейти к этапу закрытия сделки.</t>
  </si>
  <si>
    <t>00:09:45.47 - Клиент: А какая программа? Как называется программа?, 00:17:44.00 - Клиент: И еще, пожалуйста, скажите, а сколько будет за 7 месяцев?</t>
  </si>
  <si>
    <t>Разговор не дошёл до этапа обсуждения оплаты. Клиент задал вопрос о стоимости в самом конце, но разговор прервался до того, как продавец смог представить варианты оплаты.</t>
  </si>
  <si>
    <t>Обсуждение оплаты не началось или прервалось до этого момента.</t>
  </si>
  <si>
    <t>Разговор не дошёл до обсуждения способов оплаты или клиент не выражал согласия оплачивать.</t>
  </si>
  <si>
    <t>Разговор прервался до попытки закрытия сделки.</t>
  </si>
  <si>
    <t>Продавец зафиксировал следующий шаг - договорился о повторном звонке через полчаса, когда у клиента освободится время для завершения разговора.</t>
  </si>
  <si>
    <t>00:17:59.75 - Оператор: Хорошо, давайте., 00:18:00.98 - Клиент: Ага, наполовину ставим, потому что у него срочное дело здесь вышло.</t>
  </si>
  <si>
    <t>Продавец не применил сторителлинг и не рассказал ни одной истории успеха клиентов курса. Презентация была информативной, но без примеров конкретных людей, которые прошли обучение.</t>
  </si>
  <si>
    <t>Продавец обращался к клиенту по имени (Ульяна), использовал вежливые выражения ('спасибо', 'пожалуйста'), поддерживал уважительный тон, подстраивался под темп клиента, проявлял терпение при уточняющих вопросах.</t>
  </si>
  <si>
    <t>00:00:32.50 - Продавец: Так, Ульяна, а вы вообще давно в Германии живете?, 00:18:06.57 - Оператор: Хорошо, ладно, спасибо.</t>
  </si>
  <si>
    <t>Продавец активно слушал, использовал подтверждающие фразы ('понятно', 'хорошо', 'угу'), перефразировал важные мысли клиента в резюмировании, реагировал на реплики клиента уточняющими вопросами, поддерживал живой диалог.</t>
  </si>
  <si>
    <t>00:01:23.50 - Продавец: Понятно., 00:01:44.80 - Продавец: Хорошо. Понятно., 00:05:46.50 - Продавец: Правильно я вас слышал?</t>
  </si>
  <si>
    <t>Продавец не перебивал клиента, сохранял спокойный профессиональный тон, терпеливо отвечал на вопросы, не проявлял признаков раздражения даже когда клиент просила о переносе звонка.</t>
  </si>
  <si>
    <t>00:17:59.75 - Оператор: Хорошо, давайте., 00:18:06.57 - Оператор: Хорошо, ладно, спасибо.</t>
  </si>
  <si>
    <t>Продавец не допустил критических ошибок: не высказывался негативно о компании, не отговаривал клиента от покупки, зафиксировал следующий шаг (повторный звонок через полчаса) с конкретикой по времени.</t>
  </si>
  <si>
    <t>00:17:59.75 - Оператор: Хорошо, давайте.</t>
  </si>
  <si>
    <t>Продавец не допустил критических ошибок: информация о курсе была корректной (7 месяцев, онлайн формат, русский язык, программы Datev и Lexware), поведение было уважительным, ответы корректные. Все данные соответствовали официальной информации о курсе Sternmeister.</t>
  </si>
  <si>
    <t>Критических нарушений с точки зрения закона не зафиксировано. Продавец не давал ложных гарантий трудоустройства, не разглашал внутреннюю информацию, не делал неправомерных обещаний по лицензиям. Рассказ о курсе соответствовал допустимым рамкам B2C-продажи образовательных услуг.</t>
  </si>
  <si>
    <t>Диалог длился 1078 секунд. Продавец говорил 894 секунды, Клиент — 184 секунды. У Продавца — 35 реплик, у Клиента — 33 реплики. Соотношение: 894 / 1078 = 83%.</t>
  </si>
  <si>
    <t>1. Консультативные продажи 2.0 - 7/10: Продавец хорошо выявил потребности и построил доверие, но слишком много говорил сам вместо активного слушания. Нужно было больше вопросов типа 'Что для вас самое важное в выборе курса?'
2. Эмоциональный резонанс - 8/10: Отлично выявил эмоциональную боль клиента (усталость от неподходящей работы), но не использовал сторителлинг. Добавить: 'Представьте: через 8 месяцев вы приходите на работу бухгалтером с улыбкой'
3. Продажи на основе потребностей - 7/10: Четко выявил потребности, но не приоритизировал их. Нужно было спросить: 'Что важнее - быстрый старт или минимальная цена?'
4. Story-Based Selling - 4/10: Полностью отсутствовали истории успеха. Нужно было: 'У нас была Виктория, тоже 20+ лет опыта, сейчас работает финансовым директором'
5. Модель 4P - 9/10: Отлично определил проблему, пообещал результат, но не хватало доказательств и конкретного предложения. Итого: 7 + 8 + 7 + 4 + 9 = 35</t>
  </si>
  <si>
    <t>А) Фактический скрипт продавца:
1. Приветствие и подтверждение заявки
2. Программирование разговора
3. Small talk - выяснение базовой информации
4. Точка А - выявление текущей ситуации и боли
5. Точка В - выяснение целей и желаемых результатов
6. Резюмирование
7. Презентация курса с вовлечением клиента
8. Обрыв на вопросе о стоимости
Б) Особенности: Продавец следовал классической структуре, но не дошел до этапа закрытия сделки из-за внешних обстоятельств.
В) Сработавшие элементы: Клиент активно участвовала в диалоге, отвечала на вопросы, проявила интерес к программам обучения, задавала уточняющие вопросы о курсе.
Г) Не сработавшие элементы: Разговор прервался до получения решения. Клиент не выразила явной готовности к покупке, разговор завершился без конкретного результата по продаже.</t>
  </si>
  <si>
    <t>А) Что уже сработало:
- Четкая структура презентации и логичные объяснения
- Конкретная информация о программах (Datev, Lexware)
- Данные о доходах бухгалтеров (47 тысяч евро)
- Подтверждение соответствия её опыта требованиям
Б) Что могло бы сработать сильнее:
- Больше фактов и статистики о трудоустройстве
- Сравнительный анализ с конкурентами
- Четкий план пошагового обучения
- Гарантии и сертификации
В) Pain-killer line:
'Ульяна, за 3 года в клининге вы потеряли около 120 тысяч евро разницы в зарплате по сравнению с бухгалтером. Каждый месяц промедления - это еще минус 3000 евро. Стоимость курса окупится за 1 месяц работы.'
Эта фраза сработает для рационального типа, так как оперирует конкретными цифрами и экономической логикой. Лучший момент - перед обсуждением стоимости.
Г) На следующем контакте:
- Начать с цифр и фактов
- Предоставить детальную программу курса
- Показать примеры сертификатов и документов
- Не давить эмоционально, дать время на анализ</t>
  </si>
  <si>
    <t>А) Боли и интересы клиента vs УТП:
- Языковой барьер → не раскрыт УТП 'Немецкий язык для бухгалтеров'
- Неуверенность в трудоустройстве → слабо презентован 'Карьерный центр + бот для тренировок интервью'
- Желание быстрого результата → не упомянута 'Персонализированная система мотивации'
Б) Поверхностно раскрытые УТП:
- Стажировка упомянута кратко, не раскрыта ценность реального опыта
- Сертификат AZAV не объяснен как государственное признание
- 70% практики названо, но не показано на конкретных примерах
В) Пропущенные УТП для этого клиента:
1. GPT Co-pilot: 'У вас есть помощник ИИ, который поможет с домашними заданиями и подготовкой к собеседованиям'
2. Группа поддержки: 'Вы будете общаться с такими же людьми, которые меняют профессию'
3. Современные AI-инструменты: 'Изучите технологии, которые используют ведущие компании'
Г) Недостающий УТП:
Клиент выражал беспокойство по поводу возраста и возвращения в профессию. Нужен УТП: 'Специальная поддержка для специалистов 45+ с большим опытом - как правильно презентовать себя работодателю'</t>
  </si>
  <si>
    <t>Разговор не дошел до полноценного обсуждения оплаты - он прервался сразу после вопроса клиента о стоимости. Невозможно оценить, была ли потеря на этапе оплаты, так как этот этап не состоялся.</t>
  </si>
  <si>
    <t>А) Содержание звонка:
Обсуждены блоки: знакомство, выявление мотивации и текущей ситуации (Точка А), выяснение целей и желаемого результата (Точка В), презентация курса бухгалтерии. Разговор структурированный, последовательный, прерван на этапе обсуждения стоимости.
Б) Реакция клиента:
Заинтересованная и позитивная на протяжении всего разговора. Клиент активно участвовала в диалоге, задавала уточняющие вопросы о программах обучения (Datev, Lexware), названии компании, подтверждении курса в Германии. Проявляла искренний интерес к возможности смены профессии.
В) Достигнутые договоренности:
Зафиксирован следующий шаг - повторный звонок через полчаса для завершения обсуждения (включая вопрос о стоимости). Продавец корректно отреагировал на просьбу клиента о переносе времени разговора из-за срочных дел.</t>
  </si>
  <si>
    <t>Упоминаний конкурентов в разговоре не было. Клиент не сравнивал с другими курсами или компаниями, не упоминал альтернативные варианты обучения.</t>
  </si>
  <si>
    <t>1. Отсутствие проверки реакции на презентацию:
Продавец не спросил 'Что вам особенно понравилось?' или 'Готовы ли начать, если подойдет стоимость?'
Как следовало: 'Ульяна, что из услышанного показалось вам наиболее ценным?'
Эффект: Помогло бы выявить горячие точки интереса и подготовить к обсуждению стоимости.
2. Не создан FOMO-эффект:
Продавец сразу перешел к обсуждению программы без создания срочности.
Как следовало: 'Сейчас набирается последняя группа перед перерывом, следующий поток только через 3 месяца.'
Эффект: Увеличило бы мотивацию к быстрому решению.
3. Недостаток конкретики по срокам:
Не уточнил конкретные временные рамки клиента.
Как следовало: 'К какому месяцу вы хотели бы уже работать бухгалтером?'
Эффект: Помогло бы создать четкий план и усилить мотивацию.</t>
  </si>
  <si>
    <t>1. Качественное резюмирование перед презентацией:
Фраза: 'давайте я кратенько подрезюмирую... Правильно я вас слышал?'
Контекст: После выявления потребностей, перед презентацией
Почему сработало: Показал внимательное слушание и получил подтверждение понимания
Техника: Активное слушание + проверка понимания
Тип: Массовая техника
2. Адаптация презентации под опыт клиента:
Фраза: 'У вас стаж 25 лет, прекрасно, вы на 100% подходите'
Контекст: В начале презентации, после резюмирования
Почему сработало: Создал уверенность в подходящности программы
Техника: Персонализация + подтверждение соответствия
Тип: Массовая техника
3. Интерактивная презентация с вовлечением:
Фраза: 'Что важно в преподавателях? Какие это должны быть люди?'
Контекст: Во время презентации блока о преподавателях
Почему сработало: Клиент сама сформулировала требования, затем продавец показал соответствие
Техника: Вовлекающие вопросы + подстройка под ответ
Тип: Массовая техника</t>
  </si>
  <si>
    <t>А) Психологический портрет:
Ульяна - рациональный, аналитический тип. Задает конкретные уточняющие вопросы, внимательно слушает, принимает решения обдуманно. Проявляет сдержанность, но заинтересованность. Уверенно говорит о своих потребностях ('не хочу больше', 'в любом случае меняю'). Темперамент спокойный, деловой.
Б) Цели и приоритеты:
Главная цель - вернуться в любимую профессию бухгалтера. Мотивация: усталость от неподходящей работы в клининге ('это не мое', 'я не люблю'). Финансовая цель - 4000 евро в месяц. Временные рамки - как можно быстрее. Сильная эмоциональная составляющая: 'хочу в своей любимой работе быть'.
В) Дополнительные характеристики:
Для маркетинга: использовать рациональные аргументы, статистику, четкие факты. Триггеры: 'профессиональность', 'признанные программы', 'гарантированный результат'. Каналы: скорее всего ответит на email с подробной информацией. УТП которые сработают: конкретные цифры трудоустройства, примеры успешных кейсов коллег 45+, государственная сертификация. Сегмент: опытные специалисты 45+ с высшим образованием, желающие вернуться в профессию.</t>
  </si>
  <si>
    <t>Звонок был прерван до логического завершения. Клиент попросила перенести разговор из-за срочных дел ('у меня здесь срочное дело вышло'), и разговор завершился договоренностью о повторном звонке через полчаса, а не естественным окончанием диалога.</t>
  </si>
  <si>
    <t>00:17:59.75 - Клиент: Если можно, через полчаса свяжитесь со мной, если можно., 00:18:00.98 - Клиент: потому что у него срочное дело здесь вышло.</t>
  </si>
  <si>
    <t>Звонок начинается с нового контакта: есть полноценное приветствие ('Здравствуйте, это Антон из Штермейстера'), представление компании, уточнение причины звонка, программирование разговора. Клиент впервые говорит с этим продавцом, нет отсылок к предыдущим диалогам.</t>
  </si>
  <si>
    <t>00:00:02.97 - Продавец: Здравствуйте, это Антон из Штермейстера. По поводу бухгалтерии звоню. Интересовались учебой, верно?</t>
  </si>
  <si>
    <t>Клиент не упоминал государственные субсидии. В разговоре не прозвучало упоминаний Gutschein, Jobcenter, Berater или просьб о предложении (Angebot) для подачи заявки на государственное финансирование.</t>
  </si>
  <si>
    <t>Клиент выражает высокую готовность начать быстро. Примеры реплик: 'чем быстрее, тем лучше' (04:10), 'я в любом случае меняю' (04:40), 'не хочу больше' (02:55). На вопрос о сроках дала четкий ответ о желании начать как можно скорее. Контекст показывает усталость от текущей ситуации и решимость к переменам. Оценка 8/10, так как готовность высокая, но без фанатизма.</t>
  </si>
  <si>
    <t>00:04:10.30 - Клиент: Чем быстрее, тем лучше., 00:04:40.50 - Клиент: Я в любом случае меняю., 00:02:55.05 - Клиент: Не хочу больше.</t>
  </si>
  <si>
    <t>Клиент проявляет готовность к оплате, задав прямой вопрос о стоимости: 'сколько будет за 7 месяцев?' (17:44). У неё есть собственная фирма, что указывает на финансовую состоятельность. Не упоминала государственные субсидии или финансовые затруднения. Контекст показывает практичный подход к инвестициям в образование. Оценка 7/10 - готовность есть, но окончательное решение будет зависеть от суммы.</t>
  </si>
  <si>
    <t>00:17:44.00 - Клиент: И еще, пожалуйста, скажите, а сколько будет за 7 месяцев?, 00:01:29.34 - Клиент: Ну, у нас своя фирма небольшая, клининговая.</t>
  </si>
  <si>
    <t>Клиент четко понимает ценность обучения и высоко мотивирована. Примеры: 'хочу в своей любимой работе быть' (04:47), 'поэтому я решила к вам написать' (02:36). Имеет 25-летний опыт в бухгалтерии и осознает необходимость адаптации к немецким стандартам. Контекст показывает осознанный выбор професиональной переподготовки. Оценка 9/10 - потребность очень высокая и осознанная.</t>
  </si>
  <si>
    <t>00:04:47.00 - Клиент: хочу в своей любимой работе быть., 00:02:36.50 - Клиент: Поэтому я решила к вам написать.</t>
  </si>
  <si>
    <t>Сумма оценок: Срочность (8) + Платежеспособность (7) + Потребность (9) = 24. Примеры ключевых реплик: 'чем быстрее, тем лучше', 'сколько будет за 7 месяцев?', 'хочу в своей любимой работе быть'. Общий вывод: Высокая готовность. Клиент демонстрирует сильную мотивацию к смене профессии, финансовую готовность и срочность в принятии решения.</t>
  </si>
  <si>
    <t>149264788_1816427109_d580d2</t>
  </si>
  <si>
    <t>https://docs.google.com/document/d/11qvTi7jlaDPybiamxKyhhnWDwhnk82AGlOCNBXS9B3w/edit?usp=drivesdk</t>
  </si>
  <si>
    <t>2025-07-04</t>
  </si>
  <si>
    <t>149264788_1816427109</t>
  </si>
  <si>
    <t>+491732547425, Статус: Разговор состоялся</t>
  </si>
  <si>
    <t>14:07:44+02:00</t>
  </si>
  <si>
    <t>Evelina Storm</t>
  </si>
  <si>
    <t>2025-07-04T11:56:37+02:00</t>
  </si>
  <si>
    <t>Lead from: https://sternmeister.de/education?utm_source=facebook&amp;utm_id=lp_short&amp;utm_medium=site_nikita&amp;utm_campaign=nikita_education_dynamic_creative_3&amp;utm_term=de_W_2555_wide_nolang_int_5&amp;utm_content=dynamic_creative_teaser&amp;fbclid=PAZXh0bgNhZW0BMABhZGlk</t>
  </si>
  <si>
    <t>Рассрочка</t>
  </si>
  <si>
    <t>https://sternmeister.kommo.com/leads/detail/12622903</t>
  </si>
  <si>
    <t>В транскрипции отсутствует начало разговора с приветствием и представлением. Продавец не представился, не назвал компанию Sternmeister и не получил подтверждения от клиента о том, что тот оставлял заявку на курс бухгалтерии. Разговор начинается сразу с вопроса о том, удобно ли побеседовать, без должного приветствия и идентификации.</t>
  </si>
  <si>
    <t>00:00:24.97 - Продавец: Вам сейчас удобно побеседовать?</t>
  </si>
  <si>
    <t>Продавец корректно озвучил план разговора, включив все четыре необходимых смысловых блока: уточнил удобность времени (20 минут), объяснил структуру разговора (познакомиться, обсудить задачи, рассказать про учебу), и подготовил к принятию решения (если подойдем друг другу, поможет зачислить).</t>
  </si>
  <si>
    <t>00:00:26.30 - Продавец: Отлично. Тогда давайте познакомимся, обсудим ваши задачи, вообще, что хотите. И я расскажу подробнее про учебу, про условия все. Если друг друга подойдем, помогу зачислить. Во время где-то минут на 20. Нормально?</t>
  </si>
  <si>
    <t>Вопрос о стоимости не поднимался клиентом в начале разговора до этапа выяснения потребностей.</t>
  </si>
  <si>
    <t>Тема JobCenter и финансирования через субсидии не поднималась в разговоре.</t>
  </si>
  <si>
    <t>Продавец успешно выяснил базовую информацию о клиенте: как давно живет в Германии (почти 10 лет), уровень языка (С2, свободный), и основную деятельность (есть свой бизнес онлайн и оффлайн). Это помогло установить контакт и понять контекст клиента.</t>
  </si>
  <si>
    <t>00:00:42.30 - Продавец: Я готова. Так, а вы вообще в Германии давно живете?, 00:00:46.82 - Клиент: Да, почти 10 лет., 00:00:48.94 - Продавец: Ого, ничего себе. А язык указали как С2, свободный. Да, все верно. Замечательно. Хорошо.</t>
  </si>
  <si>
    <t>Продавец получил полную информацию по всем четырем элементам Точки А: опыт клиента (свой бизнес), текущая ситуация (не понимает многие моменты в работе бухгалтера, что его не устраивает), попытки решения (пробовал изучать самостоятельно по книгам), идеальное решение (хочет понимать и контролировать своего бухгалтера, найти истину среди противоречивых ответов разных бухгалтеров).</t>
  </si>
  <si>
    <t>00:01:02.87 - Клиент: В первую очередь для себя. У меня свой бизнес, и бизнес включается как онлайн, так и оффлайн. Я хочу больше понимать и, наверное, грубо будет сказано, но, наверное, в какой-то степени контролировать своего бухгалтера, потому что многие моменты я не понимаю, и меня это не устраивает., 00:01:49.78 - Клиент: Нет, такого не бывает, но интересный факт в том, что каждый бухгалтер говорит разное. То есть их вообще ответы полностью разнятся, и мне хочется найти ту самую истину, наверное., 00:03:09.20 - Клиент: Всё именно в Германии немного всё равно отличается от того, что знаю я, и поэтому, я уже пробовалась просто с книгами, покупала себе книги, но мне кажется, это всё равно немножко по-другому.</t>
  </si>
  <si>
    <t>Продавец не задавал уточняющих вопросов о влиянии текущей ситуации клиента на его жизнь или отношения с семьей. Хотя клиент рассказал о своих проблемах с пониманием бухгалтерии, продавец не углубился в то, как это сказывается на жизни клиента.</t>
  </si>
  <si>
    <t>Продавец не получил полную информацию по SMART-структуре. Конкретная цель была выяснена (понимать и контролировать бухгалтерию), но не были получены ответы по измеримому результату (уровень дохода), значимости цели (вторичные мотивы) и срокам достижения (клиент сказал 'неограниченно').</t>
  </si>
  <si>
    <t>00:02:28.40 - Продавец: Хорошо. Какие-то цели по времени, по срокам, то есть за сколько обучиться вы себе ставите?, 00:02:34.58 - Клиент: Неограниченно, нет.</t>
  </si>
  <si>
    <t>Продавец получил расплывчатый ответ по срокам ('неограниченно'), но не помог клиенту сформулировать более конкретную цель и не уточнил другие аспекты SMART-структуры.</t>
  </si>
  <si>
    <t>00:02:34.58 - Клиент: Неограниченно, нет.</t>
  </si>
  <si>
    <t>Продавец не рассказал о преимуществах профессии бухгалтера в Германии, не упомянул зарплаты, социальный пакет или карьерный рост. Не применил ни одной из необходимых фраз о доходах, льготах или перспективах профессии.</t>
  </si>
  <si>
    <t>Продавец не резюмировал ключевые моменты перед переходом к презентации. Он сразу перешел к рассказу о программе без подведения итогов обсуждения ситуации и целей клиента, и не получил подтверждения от клиента.</t>
  </si>
  <si>
    <t>00:02:56.43 - Продавец: То есть, соответственно, у вас запрос только конкретно для получения знаний, для того, чтобы лучше контролировать, понимать свой бизнес, свои финансовые потоки, вести учет и понимать, что там делает ваш бухгалтер.</t>
  </si>
  <si>
    <t>Продавец адаптировал презентацию под выявленные потребности клиента. Он сначала выяснил запрос клиента (контроль бухгалтерии своего бизнеса), а затем в презентации делал отсылки к этим задачам, объясняя как курс поможет именно в ситуации клиента.</t>
  </si>
  <si>
    <t>00:03:24.69 - Продавец: Тогда я вам предложу нестандартный вариант, потому что большинство людей у нас всё-таки приходят за трудоустройством в первую очередь. У вас есть уже бизнес и основная деятельность, поэтому, как я понимаю, это не особо сейчас в плане вам куда-то устраиваться, правильно?, 00:05:52.73 - Продавец: Для вас это особенно актуально будет, потому что все преподаватели – действующие бухгалтеры.</t>
  </si>
  <si>
    <t>Презентация проходила в живом диалоге. Продавец задавал вопросы по ходу рассказа, уточнял интерес клиента к отдельным аспектам программы и получал обратную связь, создавая ощущение диалога, а не монолога.</t>
  </si>
  <si>
    <t>00:07:20.59 - Продавец: По формату пока всё ли подходит?, 00:07:22.75 - Клиент: Да, конечно., 00:08:08.60 - Клиент: А я смогу потом сама выдавать зарплату людям?, 00:09:24.44 - Клиент: А как экзамены проходят?</t>
  </si>
  <si>
    <t>Продавец не задал вопрос о том, что из презентации оказалось наиболее важным или интересным для клиента, и не спросил о готовности начать сегодня, если подойдет стоимость. Клиент проявлял интерес вопросами, но продавец не зафиксировал это и не переходил к закрытию.</t>
  </si>
  <si>
    <t>Продавец создал FOMO-эффект, сообщив о том, что группа уже стартовала 29 июня, следующее занятие завтра, а следующий запуск только в августе. Это создало ощущение ограниченности по времени и необходимости принять решение быстро.</t>
  </si>
  <si>
    <t>00:10:08.28 - Продавец: Хороший вопрос. И здесь какой у нас момент. На самом деле мы уже стартанули. 29 июня было вводное занятие. Ну там чисто все перезнакомились и всё. То есть контент вы ещё не пропустили. И следующее занятие будет завтра. А следующий запуск будет, наверное, где-то в августе.</t>
  </si>
  <si>
    <t>Возражение 'подумаю' прозвучало в конце разговора на этапе принятия решения - клиент попросил дать время до вечера для размышлений (00:11:32.70). Возражение 'мало информации' проявилось через запрос клиента о примере документа и необходимости понять свои права и возможности для принятия решения (00:11:46.63).</t>
  </si>
  <si>
    <t>00:11:32.70 - Клиент: Дайте мне время до вечера., 00:11:46.63 - Клиент: Можете мне скинуть пример, как выглядит документ, который по завершению получают? Пример, что там у него написано. Мне это очень важно.</t>
  </si>
  <si>
    <t>Прозвучало 2 возражения: 'подумаю' и 'мало информации'. Продавец частично отработал возражение 'мало информации' - пообещал прислать образец документа, но не следовал полной структуре отработки (присоединение → уточнение → аргумент → призыв к действию). По возражению 'подумаю' продавец не провел отработку - согласился дать время до вечера без уточнения причин сомнений.</t>
  </si>
  <si>
    <t>00:11:32.70 - Клиент: Дайте мне время до вечера., 00:11:35.03 - Продавец: Хорошо., 00:11:54.62 - Продавец: Хорошо. А вам для чего он нужен? Вы вроде не планируете?</t>
  </si>
  <si>
    <t>Прозвучало ложное возражение 'подумаю' - клиент попросил дать время до вечера. Продавец не применил технику 'искренность', не задал уточняющий вопрос о том, что именно смущает или что нужно для принятия решения сейчас. Он просто согласился дать время и не попытался вывести на настоящее возражение. Также не сделал персонализированный призыв к действию.</t>
  </si>
  <si>
    <t>00:11:32.70 - Клиент: Дайте мне время до вечера., 00:11:35.03 - Продавец: Хорошо.</t>
  </si>
  <si>
    <t>А) Продавец отрабатывал возражения поверхностно: на 'мало информации' предложил прислать материалы без глубокого выяснения сути сомнений, на 'подумаю' сразу согласился без уточнений. Отсутствовали присоединение, полное уточнение и сильные аргументы.
Б) С точки зрения методик SPIN (вопросы о ситуации и потребностях) и Challenger (обучение клиента) продавец упустил возможности. По SPIN не хватало проблемных вопросов для усиления боли. По Challenger не было попытки дать клиенту новое видение ситуации или показать скрытые риски откладывания решения.
В) Примеры фраз:
- SPIN: 'А что именно в документе поможет вам принять решение? Какие конкретно права вас больше всего волнуют?' (для возражения 'мало информации')
- Challenger: 'Понимаю потребность подумать. Скажите, а сколько времени вы уже думаете над решением этого вопроса с бухгалтерией?' (для возражения 'подумаю')
Эти подходы помогли бы укрепить доверие через демонстрацию понимания ситуации клиента, выявить настоящие причины сомнений и продвинуть диалог к принятию решения через создание ощущения срочности и понимания последствий откладывания.</t>
  </si>
  <si>
    <t>00:11:32.70 - Клиент: Дайте мне время до вечера., 00:11:46.63 - Клиент: Можете мне скинуть пример, как выглядит документ</t>
  </si>
  <si>
    <t>А) Вопросы клиента: 1) Сможет ли сама выдавать зарплату сотрудникам (00:08:08.60) - на этапе презентации 2) Как проходят экзамены (00:09:24.44) - на этапе презентации 3) Когда старты курса (00:10:01.61) - при обсуждении сроков 4) Стоимость курса (00:10:44.39) - при переходе к коммерческим условиям 5) Пример документа об окончании (00:11:46.63) - при возражениях
Б) Продавец дал понятные и прямые ответы на вопросы 1-4. На вопрос о зарплате подтвердил возможность, об экзаменах объяснил онлайн-формат, о стартах дал конкретные даты, о стоимости назвал цифры. Однако на вопрос о документе ответ был неполным - пообещал прислать, но не объяснил сразу суть документа.
В) На вопрос о примере документа стоило ответить более развернуто: 'Это сертификат AZAV о профессиональной переподготовке, который дает право работать бухгалтером в Германии. Документ государственного образца, признается всеми работодателями. Я пришлю образец, но главное - с ним вы сможете полноценно вести бухгалтерию своего бизнеса и при желании работать на других компании.'
Неотвеченные вопросы существенно не повлияли на ход разговора, так как основная информация была предоставлена.</t>
  </si>
  <si>
    <t>00:08:08.60 - Клиент: А я смогу потом сама выдавать зарплату людям?, 00:09:24.44 - Клиент: А как экзамены проходят?, 00:11:46.63 - Клиент: Можете мне скинуть пример, как выглядит документ</t>
  </si>
  <si>
    <t>Продавец соблюдал алгоритм презентации цены: сначала озвучил ценность курса (полная переподготовка, включая карьерный трек), затем предложил варианты от большего к меньшему (3090 евро стандартная стоимость, 2500 евро укороченный формат без трудоустройства), и аргументировал выбор, объяснив почему в данном случае подходит укороченный вариант.</t>
  </si>
  <si>
    <t>00:11:02.77 - Продавец: Смотрите, у нас стандартная стоимость, включая карьерный трек, 3 тысячи 90 евро. Но в вашем случае, потому что такой острой необходимости нет, здесь укороченный формат без трудоустройства, это 2 500 евро.</t>
  </si>
  <si>
    <t>Продавец задал прямой вопрос о том, подходит ли предложенная стоимость клиенту и получил подтверждение. Выслушал ответ и перешел к следующему этапу приглашения к участию.</t>
  </si>
  <si>
    <t>00:11:06.77 - Продавец: То есть можно либо единоразово платить, либо, например, двумя платежами. Насколько для вас это благоподъемно?, 00:11:15.65 - Клиент: Подъемно, конечно.</t>
  </si>
  <si>
    <t>Продавец упомянул возможность оплаты единоразово или двумя платежами, но не уточнил тип банковской карты клиента и не объяснил детально, как именно проходит процесс оплаты (по ссылке, на счет и т.д.).</t>
  </si>
  <si>
    <t>00:11:06.77 - Продавец: То есть можно либо единоразово платить, либо, например, двумя платежами.</t>
  </si>
  <si>
    <t>Продавец сделал прямое предложение участвовать в курсе ('Тогда в целом я приглашаю к вам участие'), узнал о готовности клиента, и когда клиент попросил время подумать, не предложил предоплату, но зафиксировал следующий шаг связи.</t>
  </si>
  <si>
    <t>00:11:18.43 - Продавец: Тогда в целом я приглашаю к вам участие. Как раз таки в эту группу вы ещё успеете войти. И к концу зимы уже обучение по сути своей закончите. Что скажете?, 00:11:32.70 - Клиент: Дайте мне время до вечера.</t>
  </si>
  <si>
    <t>Продавец закрепил четкие договоренности о следующих шагах: пообещал прислать программу и образец документа, договорился о звонке вечером или на следующее утро, предоставив клиенту возможность связаться раньше если решение будет принято.</t>
  </si>
  <si>
    <t>00:12:23.56 - Продавец: Хорошо, я пришлю, да, без проблем, образец. Так, это будет сертификат формата CETA-FAL по профильной переподготовке. Всё, тогда в WhatsApp мы с вами на связи, я сейчас всё туда скину. Если вопросы появляются, пишите, и где-нибудь часиков в 18 я вам наберу, либо можем это сделать завтра утром.</t>
  </si>
  <si>
    <t>Продавец не применил сторителлинг и не рассказал успешных историй других клиентов курсов Sternmeister в качестве примера и мотивации.</t>
  </si>
  <si>
    <t>Продавец демонстрировал вежливость и доброжелательность: использовал вежливые слова ('хорошо', 'отлично', 'замечательно'), подстраивался под тональность клиента, общался уважительно без снисходительности. Однако не обращался к клиенту по имени в течение разговора.</t>
  </si>
  <si>
    <t>00:00:26.30 - Продавец: Отлично. Тогда давайте познакомимся, 00:00:48.94 - Продавец: Ого, ничего себе. А язык указали как С2, свободный. Да, все верно. Замечательно. Хорошо., 00:11:35.03 - Продавец: Хорошо.</t>
  </si>
  <si>
    <t>Продавец активно слушал клиента, использовал фразы активного слушания ('хорошо', 'понял', 'так'), реагировал на высказывания клиента комментариями и уточнениями, перефразировал важные мысли клиента и поддерживал живой диалог.</t>
  </si>
  <si>
    <t>00:01:27.10 - Продавец: Понял. А какие-то проблемы, связанные, может быть, с ошибками бухгалтера, штрафы, просчеты, что-то бывает?, 00:01:59.78 - Продавец: Хорошо. Хорошо, я понял вас., 00:03:23.78 - Продавец: Хорошо, я понял.</t>
  </si>
  <si>
    <t>Продавец не перебивал клиента, не проявлял раздражения или агрессии, не использовал фразы типа 'я уже объяснял', сохранял спокойный и профессиональный тон на протяжении всего разговора.</t>
  </si>
  <si>
    <t>Продавец не допустил критических ошибок: не высказывался негативно о компании, не отговаривал клиента, и закрепил конкретные следующие шаги с указанием времени звонка (вечером в 18 часов или завтра утром) и способа связи (WhatsApp).</t>
  </si>
  <si>
    <t>00:12:23.56 - Продавец: где-нибудь часиков в 18 я вам наберу, либо можем это сделать завтра утром. Но если вдруг решение будет раньше, то можете мне написать спокойно.</t>
  </si>
  <si>
    <t>Продавец не допустил критических ошибок с точки зрения клиента: предоставлял корректную информацию о курсе, не грубил, отвечал на вопросы по существу. Информация о длительности курса (7 месяцев), формате обучения (онлайн) и документах соответствовала официальным данным.</t>
  </si>
  <si>
    <t>00:02:36.80 - Продавец: У нас учеба занимает 7 месяцев., 00:05:33.40 - Продавец: Всё в формате онлайн.</t>
  </si>
  <si>
    <t>Критических нарушений с точки зрения закона не зафиксировано. Продавец не давал ложных гарантий трудоустройства, не утверждал, что лицензия AZAV уже получена, и не вводил клиента в заблуждение относительно документов.</t>
  </si>
  <si>
    <t>Диалог длился 408 секунд. Продавец говорил 330 секунд, Клиент — 78 секунд. У Продавца — 35 реплик, у Клиента — 24. Соотношение: 330 / 408 = 81%.</t>
  </si>
  <si>
    <t>1. Консультативные продажи 2.0 - 6/10: Продавец выявил потребности клиента и адаптировал предложение, но говорил больше чем слушал (81% времени). Не хватило глубины в выяснении эмоциональных драйверов.
2. Эмоциональный резонанс - 4/10: Продавец не выявил глубинную эмоциональную мотивацию, не использовал сторителлинг, не создал яркие образы будущего результата.
3. Продажи на основе потребностей - 7/10: Четко выявил основную потребность (контроль бухгалтерии), адаптировал предложение под задачи клиента, но не выделил приоритеты среди потребностей.
4. Сторителлинг - 2/10: Не использовал истории успеха других клиентов, не создал релевантные кейсы для убеждения.
5. Модель 4P - 10/10: Четко определил проблему (непонимание работы бухгалтера), дал обещание результата (полный контроль), привел доказательства (опытные преподаватели), сделал конкретное предложение.
Итог: 6+4+7+2+10 = 29</t>
  </si>
  <si>
    <t>00:01:02.87 - Клиент: многие моменты я не понимаю, и меня это не устраивает, 00:05:52.73 - Продавец: все преподаватели – действующие бухгалтеры, 00:11:18.43 - Продавец: Тогда в целом я приглашаю к вам участие</t>
  </si>
  <si>
    <t>А) Фактический скрипт: 1) Программирование разговора (время, структура) 2) Small talk (время в Германии, язык) 3) Выявление Точки А (текущие проблемы с бухгалтером) 4) Частичное выявление Точки Б (цели использования знаний) 5) Презентация курса с адаптацией под потребности 6) Создание FOMO (ограниченность по времени) 7) Презентация цены 8) Попытка закрытия без отработки возражений
Б) Особенности: пропустил резюмирование перед презентацией, не углубился в эмоциональные мотивы, поверхностно отработал возражения
В) Сработавшие элементы: адаптация предложения под бизнес-потребности клиента, создание срочности через даты запуска
Г) Не сработавшие элементы: отсутствие глубокой отработки возражения 'подумаю', недостаточное усиление мотивации
Разговор не привел к покупке - клиент попросил время подумать и остался в сомнении.</t>
  </si>
  <si>
    <t>00:11:32.70 - Клиент: Дайте мне время до вечера.</t>
  </si>
  <si>
    <t>А) Что сработало: адаптация предложения под конкретные бизнес-задачи, объяснение практических навыков (выдача зарплаты), конкретная структура программы
Б) Что могло сработать сильнее: кейсы успешного применения знаний в бизнесе, расчет экономии от самостоятельного ведения учета, риски неправильного понимания бухгалтерии
В) Pain-killer line: 'Каждый месяц неточности в понимании бухгалтерского учета могут стоить вашему бизнесу от 500 до 2000 евро штрафов и упущенной выгоды. Наш курс окупится уже через 2 месяца.' Эта фраза сработает для рационального типа, так как дает конкретные цифры потерь и выгод.
Г) На следующем контакте: сфокусироваться на ROI обучения, привести конкретные кейсы экономии, не давить эмоционально, предоставить максимум фактов.</t>
  </si>
  <si>
    <t>00:08:08.60 - Клиент: А я смогу потом сама выдавать зарплату людям?, 00:11:46.63 - Клиент: Мне это очень важно</t>
  </si>
  <si>
    <t>А) Клиент выразил боль от противоречивых советов бухгалтеров и желание контролировать процессы. УТП 'GPT Co-pilot для консультаций' и 'Персонализированная система мотивации' могли бы закрыть эти запросы.
Б) УТП '70% практики' упомянут поверхностно, не раскрыта значимость для бизнес-задач. УТП 'Немецкий для бухгалтеров' упомянут как менее актуальный, хотя мог быть полезен для работы с документами.
В) Стоило добавить: 
- Экономическое обоснование: 'Курс окупится за 2 месяца за счет экономии на услугах бухгалтера'
- Кейсы предпринимателей: 'Участники экономят 800-1200 евро в месяц, ведя учет самостоятельно'
- Безопасность: 'Снижение рисков штрафов на 95% благодаря пониманию требований'
Г) Не хватает УТП: 'Персональная консультация по оптимизации учета именно вашего бизнеса' - многие предприниматели нуждаются в индивидуальном разборе их специфики.</t>
  </si>
  <si>
    <t>00:01:49.78 - Клиент: каждый бухгалтер говорит разное, 00:08:52.45 - Продавец: много практики</t>
  </si>
  <si>
    <t>А) Разговор завершился отложенным решением - клиент попросил время до вечера для размышлений
Б) Клиент сказал: 'Дайте мне время до вечера' и попросил дополнительную информацию о документах
В) Продавец не углубился в причины сомнений, не выяснил, что именно нужно клиенту для принятия решения сейчас, не создал достаточную срочность, не показал риски откладывания
Г) Тактика, которая могла бы изменить ситуацию: 'Понимаю потребность в дополнительной информации. Скажите, если документ соответствует вашим ожиданиям, что еще может повлиять на ваше решение? Давайте разберем все сомнения сейчас, чтобы вы могли спокойно начать уже завтра.'</t>
  </si>
  <si>
    <t>А) Содержание звонка: Продавец провел полный цикл продаж - программирование разговора, выявление потребностей (контроль бухгалтерии собственного бизнеса), презентацию курса с адаптацией под задачи предпринимателя, обсуждение стоимости (2500 евро за укороченную программу) и попытку закрытия.
Б) Реакция клиента: Заинтересованная и позитивная на протяжении всего разговора. Клиент активно задавал вопросы о практических аспектах (выдача зарплат, экзамены), подтвердил финансовую возможность оплаты. В конце проявил осторожность, попросив время на размышления и дополнительную информацию о документах.
В) Достигнутые договоренности: Зафиксирован следующий звонок на вечер того же дня (в 18:00) или на следующее утро. Продавец пообещал прислать программу курса и образец документа об окончании. Оставлена возможность для клиента связаться раньше при принятии решения.</t>
  </si>
  <si>
    <t>00:11:18.43 - Продавец: Тогда в целом я приглашаю к вам участие, 00:12:23.56 - Продавец: где-нибудь часиков в 18 я вам наберу</t>
  </si>
  <si>
    <t>Упоминаний конкурентов в разговоре не было.</t>
  </si>
  <si>
    <t>1. Поверхностная отработка возражения 'подумаю' - Продавец сразу согласился: 'Хорошо' без выяснения причин сомнений. Следовало сказать: 'Понимаю. А что именно хотелось бы уточнить для принятия решения сейчас?' Это помогло бы выявить истинные возражения.
2. Отсутствие резюмирования перед презентацией - Продавец сразу перешел к рассказу о курсе без подведения итогов. Нужно было: 'Итак, если я правильно понял, вы хотите контролировать бухгалтерию своего бизнеса и разобраться в противоречивых советах специалистов. Верно?' Это усилило бы понимание ценности предложения.
3. Недостаточное создание срочности - Упомянул старт группы, но не показал конкретные потери от откладывания. Следовало: 'Каждый месяц без понимания бухгалтерии - это риск штрафов и упущенная прибыль. Начав сейчас, к новому году вы полностью контролируете финансы.' Это мотивировало бы к быстрому решению.</t>
  </si>
  <si>
    <t>1. Адаптация предложения под бизнес-контекст - 'Тогда я вам предложу нестандартный вариант, потому что большинство людей у нас всё-таки приходят за трудоустройством в первую очередь. У вас есть уже бизнес...' - Сработало через признание уникальности ситуации и персонализацию. Техника: градация приоритетов. Массовая техника.
2. Создание FOMO через конкретные даты - 'На самом деле мы уже стартанули. 29 июня было вводное занятие... следующее занятие будет завтра. А следующий запуск будет, наверное, где-то в августе.' - Создало ощущение упущенной возможности и необходимости решать быстро. Техника: ограниченность по времени. Массовая техника.
3. Активное выяснение практических деталей - Когда клиент спросил о выдаче зарплат, продавец четко подтвердил возможность и объяснил значимость. Это укрепило доверие и показало понимание бизнес-потребностей. Техника: консультативная продажа. Массовая техника.</t>
  </si>
  <si>
    <t>00:03:24.69 - Продавец: Тогда я вам предложу нестандартный вариант, 00:10:14.28 - Продавец: мы уже стартанули</t>
  </si>
  <si>
    <t>А) Психологический и демографический портрет: Рациональный предприниматель с аналитическим складом ума, живет в Германии 10 лет, свободно владеет немецким (С2). Проявляет осторожность в принятии решений, требует дополнительной информации для анализа. Инициативен - задает конкретные вопросы, фокусируется на практической применимости. Цитаты: 'мне хочется найти ту самую истину', 'Мне это очень важно'.
Б) Цели и приоритеты: Главная цель - контроль и понимание бухгалтерского учета собственного бизнеса (онлайн и оффлайн). Боль - противоречивые советы разных бухгалтеров, отсутствие понимания процессов. Мотивация: 'я хочу больше понимать и контролировать своего бухгалтера, потому что многие моменты я не понимаю'. Сроки не критичны - 'неограниченно'.
В) Выводы для бизнеса: Сегмент предпринимателей нуждается в УТП 'экономия на услугах бухгалтера' и 'снижение рисков'. Триггеры: 'контроль', 'понимание', 'истина'. Канал: вероятно digital. Нужны кейсы ROI и конкретная практика для бизнеса. Возможна упаковка отдельного продукта 'Бухгалтерия для предпринимателей'.</t>
  </si>
  <si>
    <t>00:01:02.87 - Клиент: я хочу больше понимать и контролировать своего бухгалтера, 00:01:49.78 - Клиент: мне хочется найти ту самую истину</t>
  </si>
  <si>
    <t>Разговор завершился логично с взаимными договоренностями о следующем контакте. Участники попрощались ('До свидания'), не было технических сбоев или резких обрывов.</t>
  </si>
  <si>
    <t>00:12:51.30 - Продавец: До свидания.</t>
  </si>
  <si>
    <t>Звонок начинается с нового контакта без отсылок к предыдущим диалогам. Продавец сразу спрашивает об удобности времени и переходит к знакомству, что характерно для первичного контакта.</t>
  </si>
  <si>
    <t>00:00:24.97 - Продавец: Вам сейчас удобно побеседовать?, 00:00:26.30 - Продавец: Тогда давайте познакомимся</t>
  </si>
  <si>
    <t>Клиент не упоминал Gutschein, Jobcenter, Berater или потребность в предложении (Angebot) для государственного финансирования. Обсуждалась только самостоятельная оплата и рассрочка от компании.</t>
  </si>
  <si>
    <t>Клиент проявил высокую готовность начать обучение. На вопрос о сроках ответил 'неограниченно', что показывает отсутствие временного давления, но при этом интересовался конкретными датами старта и активно обсуждал возможность попасть в текущую группу. Фраза 'Супер' на предложение 20-минутного разговора демонстрирует позитивный настрой и готовность к быстрому принятию решений.</t>
  </si>
  <si>
    <t>00:02:34.58 - Клиент: Неограниченно, нет., 00:10:01.61 - Клиент: Пока достаточно. На самом деле всё очень интересно. Расскажите, когда старт?</t>
  </si>
  <si>
    <t>Клиент четко подтвердил финансовую готовность: 'Подъемно, конечно' на вопрос о стоимости 2500 евро. Обсуждал варианты оплаты (единоразово или двумя платежами) без возражений по цене. Не упоминал потребность в государственном финансировании или сложности с оплатой.</t>
  </si>
  <si>
    <t>00:11:15.65 - Клиент: Подъемно, конечно., 00:10:44.39 - Клиент: Ну, в зависимости, во-первых, от оплаты</t>
  </si>
  <si>
    <t>Клиент ясно понимает ценность обучения для себя и мотивирован учиться. Четко сформулировал цели: контроль и понимание работы бухгалтера, решение проблемы противоречивых советов специалистов. Проявлял активный интерес, задавая практические вопросы о применении знаний в своем бизнесе.</t>
  </si>
  <si>
    <t>00:01:02.87 - Клиент: Я хочу больше понимать и, наверное, грубо будет сказано, но, наверное, в какой-то степени контролировать своего бухгалтера, потому что многие моменты я не понимаю, и меня это не устраивает., 00:03:09.20 - Клиент: мне хочется найти ту самую истину</t>
  </si>
  <si>
    <t>Сумма оценок: Срочность (8) + Платежеспособность (9) + Потребность (9) = 26. Клиент демонстрирует высокую готовность: четко понимает зачем ему обучение, готов оплатить предложенную стоимость, заинтересован в быстром старте. Примеры: 'Подъемно, конечно', 'мне хочется найти ту самую истину', 'всё очень интересно'. Общий вывод: Высокая готовность.</t>
  </si>
  <si>
    <t>00:11:15.65 - Клиент: Подъемно, конечно., 00:01:49.78 - Клиент: мне хочется найти ту самую истину, 00:10:01.61 - Клиент: всё очень интересно</t>
  </si>
  <si>
    <t>149248986_1816373914_32b5ac</t>
  </si>
  <si>
    <t>https://docs.google.com/document/d/1rOH_FqBJFmPGtCNUL1YT4MAKLXevk_cSislZzlkKlTM/edit?usp=drivesdk</t>
  </si>
  <si>
    <t>149248986_1816373914</t>
  </si>
  <si>
    <t>+4915152903198, Статус: Разговор состоялся</t>
  </si>
  <si>
    <t>12:30:43+02:00</t>
  </si>
  <si>
    <t>Kateryna Buina</t>
  </si>
  <si>
    <t>2025-07-03T15:00:21+02:00</t>
  </si>
  <si>
    <t>Lead from: https://sternmeister.de/tg-application</t>
  </si>
  <si>
    <t>Контакт установлен</t>
  </si>
  <si>
    <t>https://sternmeister.kommo.com/leads/detail/12594494</t>
  </si>
  <si>
    <t>Продавец не соблюл полную структуру приветствия. Он поприветствовался и представился как 'Антон, эштермейстер, бухгалтерия', но не назвал компанию Sternmeister и не получил подтверждение от клиента о том, что тот оставлял заявку на обучение. Вместо этого сразу перешел к вопросу об удобности времени для разговора.</t>
  </si>
  <si>
    <t>00:00:03.87 - Продавец: Здравствуйте, это Антон, эштермейстер, бухгалтерия. Да. Так, вам сейчас удобно побеседовать будет? Минут на 20 примерно?</t>
  </si>
  <si>
    <t>Продавец озвучил план разговора, включив все четыре смысловых блока: уточнил удобность времени (20 минут), предложил познакомиться и обсудить задачи клиента, рассказать про учебу и условия, подобрать вариант, и если все подойдет - зачислить.</t>
  </si>
  <si>
    <t>00:00:23.66 - Продавец: Тогда давайте сейчас как поступим. Мы познакомимся, осудим ваши задачи, что хотите получить, и я расскажу про учебы, про условия, подберем вариант подходящий. Если всем все подойдет, могу зачислить. Хорошо?</t>
  </si>
  <si>
    <t>Вопрос о стоимости в начале разговора не поднимался клиентом.</t>
  </si>
  <si>
    <t>Продавец корректно отреагировал на интерес клиента к обучению через джоб-центр. Он не сказал, что не работает с JobCenter, а предложил подготовить предложение для джоб-центра и уточнил возможность самостоятельной оплаты как альтернативы.</t>
  </si>
  <si>
    <t>00:03:46.81 - Клиент: Ну, конечно, желательно через джоб-центр. Ну, если... ну, знать хотя бы, сколько стоит, если это самостоятельно., 00:15:32.87 - Продавец: Поэтому мы сможем подготовить предложение для оператора примерно в течение 2-3 недель.</t>
  </si>
  <si>
    <t>Продавец выяснил ключевую информацию о клиенте: как долго живет в Германии (с 2022 года), уровень немецкого языка (В1 не сдала), текущую работу (мини-джоб хаус-хильфы), семейную ситуацию и опыт работы бухгалтером в Украине.</t>
  </si>
  <si>
    <t>00:00:43.56 - Продавец: А вы давно в Германии живете?, 00:00:49.39 - Продавец: Я понял, хорошо. А уровень языка какой у вас?, 00:01:46.78 - Продавец: а интерес к бухгалтерии с чем связан? Для чего вы обучились?, 00:03:25.86 - Продавец: Так, а вы сейчас кем работаете?</t>
  </si>
  <si>
    <t>Продавец получил информацию по всем ключевым элементам Точки А: опыт клиента (бухгалтер в Украине), текущая ситуация (мини-джоб, на джоб-центре, 3 года без движения), что не устраивает (нет карьерного роста, низкий доход), попытки изменить ситуацию (изучение языка, подготовка к В1), идеальное решение (работа бухгалтером с нормальной зарплатой).</t>
  </si>
  <si>
    <t>00:02:29.87 - Клиент: Я в Украине была бухгалтером..., 00:03:38.72 - Клиент: У меня маленький мини-джоб, хаус-хильфы..., 00:05:05.93 - Клиент: три года, как говорится, мы не движемся ни туда, ни сюда, 00:05:51.07 - Клиент: в принципе, если я даже буду зарабатывать, я не знаю, хотя бы 25 евро в час начально</t>
  </si>
  <si>
    <t>Продавец не задавал углубляющих вопросов о влиянии текущей ситуации на жизнь клиента или отношения с семьей. Он не выяснял, как эмоционально переживается застой и готова ли клиент к долгому ожиданию.</t>
  </si>
  <si>
    <t>Продавец получил информацию по всем элементам SMART: конкретная цель (работа бухгалтером), измеримый результат (25 евро в час, 3000 евро в месяц), значимость (финансовая независимость, самостоятельность), срок (в ближайшее время, не растягивать на год-два).</t>
  </si>
  <si>
    <t>00:05:51.07 - Клиент: в принципе, если я даже буду зарабатывать, я не знаю, хотя бы 25 евро в час начально, 00:05:56.20 - Продавец: По опыту бухгалтер начинающий зарабатывает от 3000 евро в месяц, 00:06:27.41 - Продавец: И обучение вы планируете уже в ближайшее время? То есть растягивать на год, на два желания нет, правильно?</t>
  </si>
  <si>
    <t>Клиент дала конкретные ответы по всем пунктам SMART-структуры, поэтому необходимости в уточнении не было.</t>
  </si>
  <si>
    <t>Продавец упомянул только зарплату начинающего бухгалтера (от 3000 евро в месяц), но не рассказал о социальном пакете, карьерном росте, стабильности занятости, оплачиваемых больничных, премиях и других преимуществах профессии. Также не спросил, какие эмоции клиент будет испытывать при достижении цели.</t>
  </si>
  <si>
    <t>00:05:56.20 - Продавец: По опыту бухгалтер начинающий зарабатывает от 3000 евро в месяц.</t>
  </si>
  <si>
    <t>Продавец подытожил ключевые моменты перед презентацией: текущую ситуацию клиента (в Германии, есть опыт бухгалтера, на джоб-центре, В1 не сдала, на выплатах), цель (работать бухгалтером), временные рамки (не откладывать) и попросил поправить, если что не так.</t>
  </si>
  <si>
    <t>00:07:08.83 - Продавец: Тогда давайте сейчас я подрезюмирую, что услышал от вас. Поправьте меня, если что не так. И дальше по самой программе, я про нее расскажу. Вот вы мне про себя сказали, что сначала вы устроились в Германии, и у вас есть опыт, есть образование бухгалтером, работали в этой сфере...</t>
  </si>
  <si>
    <t>Продавец адаптировал презентацию под потребности клиента: делал отсылки к ее опыту ('У вас опыт есть, поэтому вы нам подходите'), к языковым проблемам ('курс профессионального немецкого языка... поможет разговорный навык до уровня В2 подтянуть'), к необходимости трудоустройства ('ведем до трудоустройства').</t>
  </si>
  <si>
    <t>00:07:49.42 - Продавец: У вас опыт есть, поэтому вы нам подходите, 00:09:48.41 - Продавец: потому что я честно скажу, что в этой сфере язык имеет ключевое значение для работы, но вот В1 – это прям супер минимум, 00:12:49.10 - Продавец: Мы работаем до трудоустройства</t>
  </si>
  <si>
    <t>Презентация проходила в диалоге: продавец задавал уточняющие вопросы ('Здесь по формату все ли пока подходит?', 'Насколько подходит?'), получал подтверждения от клиента ('Ну, да', 'Не очень хорошо, да, не узко', 'Да, это тоже искусство'), создавая ощущение живого диалога, а не монолога.</t>
  </si>
  <si>
    <t>00:10:15.92 - Продавец: Здесь по формату все ли пока подходит?, 00:10:18.98 - Клиент: Ну, да., 00:11:03.72 - Клиент: Не очень хорошо, да, не узко., 00:12:49.10 - Продавец: Насколько подходит?</t>
  </si>
  <si>
    <t>Продавец не задал вопрос о том, что именно из презентации показалось клиенту наиболее важным или интересным. Также не уточнил готовность клиента начать сегодня, если подойдет стоимость. Клиент давала короткие подтверждения по ходу презентации, но специального обсуждения реакции не было.</t>
  </si>
  <si>
    <t>Продавец создал FOMO-эффект, сообщив о льготной цене на последнее место в третьей группе со скидкой 50% (3900 евро вместо 7800), подчеркнув ограниченность предложения. Это мотивировало клиента к быстрому принятию решения.</t>
  </si>
  <si>
    <t>00:14:24.90 - Продавец: Там последнее место осталось, мы его по льготной цене отдаем. Скидка 50% – 3900 евро. Там уже первое занятие было в воскресенье, но такое чисто знакомство, и все. По сути, контент не пропущен.</t>
  </si>
  <si>
    <t>Дорого: на этапе обсуждения стоимости клиент сказала '600 евро в месяц. Пока сложно сказать, что прям так горячим пирожком я...' (неуверенно, с сомнением). Посоветуюсь: 'Надо с мужем поговорить' (спокойно, как необходимость). Не сейчас: 'За сколько я в поезд не впрыгну, к сожалению' (с сожалением, объясняя текущую ситуацию). Джоб-центр: в начале разговора выразила предпочтение обучению через джоб-центр (уверенно, как приоритет).</t>
  </si>
  <si>
    <t>00:14:24.90 - Клиент: 600 евро в месяц. Пока сложно сказать, что прям так горячим пирожком я..., 00:14:41.03 - Клиент: Надо с мужем поговорить, 00:16:25.13 - Клиент: За сколько я в поезд не впрыгну, к сожалению, 00:03:46.81 - Клиент: Ну, конечно, желательно через джоб-центр</t>
  </si>
  <si>
    <t>Продавец отработал менее 3 возражений и нарушил структуру. При возражении 'дорого' он сразу предложил варианты оплаты без присоединения и уточнения. При возражении 'посоветуюсь' не углубился в выяснение истинных причин. При возражении о джоб-центре корректно перенес на подготовку предложения. Структура отработки (присоединение → уточнение → аргумент → призыв к действию) не соблюдалась.</t>
  </si>
  <si>
    <t>00:14:47.63 - Продавец: А какой бюджет был бы подъемен, как думаете?, 00:15:15.27 - Продавец: максимум, который можем предложить, могу строго согласовать, на 10 месяцев разбивается по 390 евро в месяц</t>
  </si>
  <si>
    <t>При ложном возражении 'посоветуюсь' ('Надо с мужем поговорить') продавец не использовал технику искренности, не задал уточняющих вопросов типа 'в чем именно хотите посоветоваться', не попытался выявить настоящую причину сомнений. Быстро закрыл тему переходом к джоб-центру. Не делал персонализированного призыва к действию в конце отработки.</t>
  </si>
  <si>
    <t>00:14:41.03 - Клиент: Надо с мужем поговорить., 00:14:47.63 - Продавец: А какой бюджет был бы подъемен, как думаете?</t>
  </si>
  <si>
    <t>А) Анализ отработки возражений: Продавец столкнулся с возражениями 'дорого', 'посоветуюсь', 'не сейчас' и 'джоб-центр'. Ошибки: отсутствие присоединения, поверхностное уточнение, слабые аргументы, быстрый переход к альтернативам без глубокого понимания причин. Б) Методики: SPIN (ситуативные, проблемные, извлекающие, направляющие вопросы) - не были использованы для выявления скрытых потребностей. Challenger Sale - продавец не оспаривал предположения клиента о невозможности оплаты. NEAT (потребности, экономическое влияние, доступ к полномочиям, временные рамки) - не выяснил влияние отсрочки решения. В) Примеры фраз: SPIN: 'Что именно в семейном бюджете мешает принять решение сейчас?' Challenger: 'Многие думают, что дорого, но потеря 4 месяцев до следующей группы = потеря 16000 евро дохода'. NEAT: 'Если не начнете сейчас, когда планируете решить вопрос с карьерой?' Эти подходы помогли бы укрепить доверие, выявить настоящие причины и продвинуть к решению.</t>
  </si>
  <si>
    <t>А) Вопросы клиента: На раннем этапе клиент спросила о стоимости при самостоятельной оплате. На этапе обсуждения оплаты уточняла формат платежей и возможности. Б) Качество ответов: Продавец дал конкретные ответы по стоимости (7800/3900 евро, рассрочка), объяснил варианты оплаты. Ответы были по сути, но без развернутой аргументации ценности. В) Рекомендации для улучшения ответов: На вопрос о стоимости лучше было бы сначала подчеркнуть ценность: 'Полный курс с сертификацией, трудоустройством и языком стоит 7800, но с учетом вашего опыта и текущей акции...' Это усилило бы восприятие выгодности предложения. Неотвеченные вопросы не повлияли критично на ход разговора, но более развернутые ответы могли бы укрепить ценность предложения.</t>
  </si>
  <si>
    <t>00:03:55.12 - Клиент: сколько стоит, если это самостоятельно, 00:14:24.90 - Продавец: Стандартная стоимость обычно 7800 евро... скидка 50% – 3900 евро</t>
  </si>
  <si>
    <t>Продавец не соблюдал алгоритм презентации цены. Он не озвучил ценность курса до называния цены, не рекомендовал оплату от большего к меньшему (сразу предложил рассрочку), не дал развернутой аргументации выбора. Просто назвал стандартную цену 7800 евро, льготную 3900 евро и варианты рассрочки без обоснования преимуществ каждого варианта.</t>
  </si>
  <si>
    <t>00:14:24.90 - Продавец: Стандартная стоимость обычно 7800 евро. Профессиональная переподготовка по средней зарплате. Но сейчас условия отличаются... Скидка 50% – 3900 евро., 00:15:15.27 - Продавец: максимум, который можем предложить, могу строго согласовать, на 10 месяцев разбивается по 390 евро в месяц</t>
  </si>
  <si>
    <t>Продавец задавал вопросы о подходящем варианте оплаты: 'Насколько такой бюджет у вас был?' и 'какой бюджет был бы подъемен'. Когда клиент выразила сомнения, он предложил альтернативный вариант на 10 месяцев. Выслушивал ответы клиента и адаптировался под ее возможности.</t>
  </si>
  <si>
    <t>00:14:24.90 - Продавец: Насколько такой бюджет у вас был?, 00:14:47.63 - Продавец: А какой бюджет был бы подъемен, как думаете?, 00:15:15.27 - Продавец: 390 евро более подъемный вариант или вообще?</t>
  </si>
  <si>
    <t>Клиент не выразил согласие оплачивать, поэтому обсуждение конкретных способов оплаты не происходило.</t>
  </si>
  <si>
    <t>Продавец не сделал прямого предложения оплатить и приступить к обучению. Когда стало очевидно, что клиент не готов оплачивать сейчас, он не предложил внести предоплату. Вместо попытки закрытия сделки сразу перешел к предложению подготовить документы для джоб-центра.</t>
  </si>
  <si>
    <t>00:15:32.87 - Продавец: Поэтому мы сможем подготовить предложение для оператора примерно в течение 2-3 недель</t>
  </si>
  <si>
    <t>Продавец зафиксировал четкие следующие шаги: отправить программу на почту для ознакомления, подготовить предложение для джоб-центра в течение 2-3 недель, связаться ближе к 20-м числам для подготовки документов на августовский поток.</t>
  </si>
  <si>
    <t>00:16:16.07 - Продавец: Я включу вам программу, чтобы вы могли посмотреть, что это, как устроено изнутри, конкретно темы, которые изучаются. Когда документы будут готовы, я с вами свяжусь, где-то ближе к 20-м числам, и подготовим предложение</t>
  </si>
  <si>
    <t>Продавец не применил сторителлинг в разговоре. Не рассказал ни одной успешной истории клиентов компании Sternmeister в качестве примера и мотивации для данного клиента.</t>
  </si>
  <si>
    <t>Продавец не обращался к клиенту по имени ни разу, не использовал вежливые слова типа 'пожалуйста', 'спасибо', 'извините'. Общался достаточно сухо и механически. Хотя не был грубым, но отсутствовала доброжелательность и индивидуальный подход.</t>
  </si>
  <si>
    <t>Продавец использовал фразы активного слушания ('Я понял', 'хорошо', 'угу'), реагировал на высказывания клиента уточнениями, перефразировал важные моменты ('Правильно понимаю, что это единственное, что вас останавливает'), поддерживал диалог в живом темпе.</t>
  </si>
  <si>
    <t>00:00:49.39 - Продавец: Я понял, хорошо., 00:03:09.50 - Продавец: У них задачи как можно быстрее., 00:04:36.31 - Продавец: Так, я понял</t>
  </si>
  <si>
    <t>Продавец не перебивал клиента, не проявлял раздражения, не использовал фразы типа 'я уже объяснял'. Сохранял спокойный, профессиональный тон до конца разговора даже при отказе клиента от оплаты.</t>
  </si>
  <si>
    <t>Продавец не допустил критических ошибок. Не высказывался негативно о компании, не отговаривал от покупки, закрепил конкретные следующие шаги с указанием времени связи (2-3 недели, ближе к 20-м числам) и формата (подготовка предложения для джоб-центра).</t>
  </si>
  <si>
    <t>00:15:32.87 - Продавец: Поэтому мы сможем подготовить предложение для оператора примерно в течение 2-3 недель, 00:16:16.07 - Продавец: Когда документы будут готовы, я с вами свяжусь, где-то ближе к 20-м числам</t>
  </si>
  <si>
    <t>Продавец не допустил критических ошибок с точки зрения клиента. Информация о курсе соответствовала действительности (7 месяцев, онлайн, русский язык, практика, стажировка, трудоустройство), поведение было уважительным, ответы корректными. Не давал ложной информации о лицензиях или сертификатах.</t>
  </si>
  <si>
    <t>Продавец не допустил юридически опасных действий. Не разглашал внутреннюю информацию, не давал неправомерных гарантий трудоустройства (говорил 'помогаем', 'ведем до трудоустройства'), корректно говорил о сертификатах и не утверждал, что лицензия AZAV уже получена.</t>
  </si>
  <si>
    <t>00:08:21.42 - Продавец: Мы ведем до трудоустройства, 00:12:11.67 - Продавец: получаете документы, наш вайтер Гугл для подготовки к государственным образцам</t>
  </si>
  <si>
    <t>Диалог длился 1020 секунд (с 00:00:01 по 00:17:01). Продавец говорил 730 секунд, Клиент — 290 секунд. У Продавца — 25 реплик, у Клиента — 22 реплики. Соотношение: 730 / 1020 = 72%.</t>
  </si>
  <si>
    <t>1. Консультативные продажи 2.0: 6/10. Продавец выявлял потребности и связывал решение с задачами клиента, но говорил больше, чем слушал. Для 10/10 нужно было больше вопросов типа 'Как эта ситуация влияет на вашу семью?'. 2. Эмоциональный резонанс: 4/10. Выявил мотивацию (финансовая независимость), но не использовал сторителлинг и не работал с эмоциями. Для 10/10 нужны истории успеха и визуализация результата. 3. Потребностная продажа: 7/10. Четко выявил потребности и классифицировал запрос, связал характеристики с приоритетами. Для 10/10 не хватало устранения сомнений. 4. Story-Based Selling: 2/10. Не рассказывал историй клиентов. Для 10/10 нужны кейсы похожих украинок-бухгалтеров. 5. 4P модель: 9/10. Четко определил проблему (застой в карьере), обещал результат (3000 евро), дал доказательства (опыт других), сделал предложение. Сумма: 6+4+7+2+9=28</t>
  </si>
  <si>
    <t>А) Фактический скрипт: 1) Приветствие и программирование (озвучил план встречи) 2) Small talk (выяснение ситуации клиента) 3) Точка А (текущие проблемы и боли) 4) Точка Б (цели и желания) 5) Резюмирование 6) Презентация курса (формат, содержание, трудоустройство) 7) Обсуждение стоимости и рассрочки 8) Работа с возражениями 9) Переход к джоб-центру 10) Фиксация следующих шагов. Б) Особенности: пропустил этап создания срочности, не использовал сторителлинг, быстро согласился на джоб-центр вместо дожима. В) Сработавшие элементы: структурированная презентация вызвала понимание формата, резюмирование создало ясность, конкретные цифры по зарплате заинтересовали. Г) Не сработавшие: отсутствие эмоциональных историй не создало мотивации, слабая работа с возражениями не сняла сомнения по деньгам. Результат: клиент остался в подвешенном состоянии, не приблизился к покупке.</t>
  </si>
  <si>
    <t>А) Сработало: конкретные цифры зарплаты, структурированная программа, гибкость в вариантах оплаты, понимание языковых проблем. Б) Могло сработать сильнее: истории успеха украинских бухгалтеров, подчеркивание стабильности профессии, эмоциональная картина лучшего будущего для детей. В) Pain-killer line: 'Представьте: через 8 месяцев вы работаете немецким бухгалтером с зарплатой 3000 евро, ваши дети видят, что мама не убирает офисы, а занимается интеллектуальной работой - вы снова почувствуете себя профессионалом'. Сказать после выявления целей. Г) На следующем контакте: сфокусироваться на безопасности решения, привести конкретные примеры трудоустроенных мам-бухгалтеров, обсудить план 'безболезненного' старта. Не повторять давление по деньгам.</t>
  </si>
  <si>
    <t>А) Неиспользованные УТП под запросы клиента: для языковых сомнений - GPT Co-pilot и бот для интервью; для неуверенности в трудоустройстве - карьерный центр с шаблонами резюме; для мам с детьми - гибкий график и LMS-платформа; для украинцев - поддержка соотечественников в группе. Б) Поверхностно раскрытые: немецкий язык (не объяснил про разговорные клубы), сертификация (не подчеркнул государственный образец). В) Рекомендации по подаче: 'У нас есть ИИ-помощник, который поможет подготовиться к собеседованиям на немецком', 'Персональный трекер покажет ваш прогресс - никто не останется позади', 'Группа поддержки включает многих мам из Украины'. Г) Недостающие УТП: 'Специальная поддержка для мам' (гибкая система занятий под детский график), 'Украинское комьюнити' (менторство от выпускниц-соотечественниц), 'Гарантированная социализация' (профессиональные контакты в немецкой среде).</t>
  </si>
  <si>
    <t>А) Разговор шел позитивно до этапа оплаты, клиент проявляла интерес к формату и программе. На этапе оплаты дала отказ/отложение. Б) Клиент сказала: 'Пока сложно сказать, что прям так горячим пирожком я... Надо с мужем поговорить... Не могу сейчас... За сколько я в поезд не впрыгну, к сожалению'. В) Ошибки продавца: не создал достаточной срочности, не отработал глубоко возражение 'посоветуюсь', быстро согласился на джоб-центр вместо дожима, не предложил предоплату или мини-коммитмент. Г) Изменяющая тактика: 'Понимаю потребность посоветоваться. В чем именно муж может помочь принять решение? Может, стоит ему тоже прослушать нашу презентацию?' - это могло выявить настоящие причины и вовлечь семью в решение.</t>
  </si>
  <si>
    <t>00:14:24.90 - Клиент: Пока сложно сказать, что прям так горячим пирожком я..., 00:14:41.03 - Клиент: Надо с мужем поговорить</t>
  </si>
  <si>
    <t>А) Содержание: Обсуждались мотивация (смена сферы с уборки на бухгалтерию), текущие сложности (застой 3 года, мини-джоб, языковой барьер), цели (финансовая независимость, 3000 евро зарплаты), презентация курса (7 месяцев онлайн, немецкий язык, трудоустройство), этап оплаты (7800/3900 евро, рассрочка), возражения (дорого, посоветуюсь, джоб-центр). Б) Реакция клиента: заинтересованная на этапе выявления потребностей, понимающая при презентации формата, сомневающаяся при обсуждении стоимости, отстраненная при попытке закрытия. На УТП реагировала позитивно, на цену - негативно. В) Договоренности: зафиксирован следующий звонок через 2-3 недели для подготовки предложения джоб-центру, отправка программы на изучение. Продавец проявил инициативу в фиксации шагов.</t>
  </si>
  <si>
    <t>В разговоре не было упоминаний конкурентов ни прямо, ни косвенно.</t>
  </si>
  <si>
    <t>1. Отсутствие обращения по имени. Контекст: на протяжении всего разговора ни разу не назвал клиента по имени. Как следовало: 'Здравствуйте, [имя]', '[имя], а как долго вы в Германии?'. Эффект: создается личный контакт и доверие. 2. Поверхностная отработка возражения 'посоветуюсь'. Фраза: 'Надо с мужем поговорить' → 'А какой бюджет был бы подъемен?'. Как следовало: 'Понимаю. В чем именно хотите с ним посоветоваться? Может, есть что-то конкретное, что его беспокоит?'. Эффект: выявление истинных причин сопротивления. 3. Быстрая сдача позиций на джоб-центр. Контекст: при первых денежных сомнениях сразу предложил путь через субсидии. Как следовало: 'Понимаю ваши сомнения по деньгам. Но подумайте: каждый месяц отсрочки - это потеря 3000 евро будущего дохода. Может, стоит найти способ начать сейчас?'. Эффект: удержание на коммерческом треке и создание срочности.</t>
  </si>
  <si>
    <t>1. Структурное резюмирование. Фраза: 'Тогда давайте сейчас я подрезюмирую, что услышал от вас...'. Контекст: после выявления потребностей, перед презентацией. Почему сработало: создал ощущение понимания и структурности, клиент подтвердила правильность понимания. Техника: консультативные продажи. Тип: массовая техника. 2. Конкретизация зарплатных ожиданий. Фраза: 'По опыту бухгалтер начинающий зарабатывает от 3000 евро в месяц'. Контекст: после вопроса клиента о доходах. Почему сработало: дал конкретную цифру выше ожиданий клиента (она говорила о 25 евро/час). Техника: якорение цифрами. Тип: массовая техника. 3. Создание FOMO через ограниченность. Фраза: 'последнее место осталось, мы его по льготной цене отдаем'. Контекст: при презентации стоимости. Почему сработало: создало ощущение уникальности предложения и необходимости быстрого решения. Техника: дефицит и эксклюзивность. Тип: массовая техника.</t>
  </si>
  <si>
    <t>А) Психологический портрет: Осторожная, ответственная женщина средних лет. Принимает решения обдуманно, консультируясь с семьей. Проявляет инициативу в обучении, но боится финансовых рисков. Темперамент спокойный, речь размеренная. Особенности: уточняет детали, ищет гарантии. Имя не было озвучено. Б) Цели и мотивация: Главная цель - вернуться к профессии бухгалтера и финансовая независимость ('не быть вечной уборщицей'). Боли: застой 3 года, низкий статус работы, зависимость от соцвыплат. Мотивация: самореализация, стабильность для детей, профессиональная гордость. Срок: готова начать, но не торопится с решением об оплате. В) Маркетинговые выводы: Сегмент - образованные украинские мамы 35-45 лет. Триггеры: профессиональная самореализация, финансовая стабильность семьи, достойная работа. Эффективные фичи: гибкий график для мам, поддержка украинского комьюнити, государственное финансирование. Канал - социальные сети украинских сообществ в Германии.</t>
  </si>
  <si>
    <t>Разговор был полноценным и завершился логично попрощанием 'Все, хорошо, отлично. Спасибо большое. До свидания' без технических сбоев или резких прерываний.</t>
  </si>
  <si>
    <t>00:17:01.78 - Клиент: Все, хорошо, отлично. Спасибо большое. До свидания.</t>
  </si>
  <si>
    <t>Звонок начинается с приветствия и представления. Продавец знакомится с клиентом, задает базовые вопросы о ситуации, не ссылается на предыдущие контакты. Это первичный контакт.</t>
  </si>
  <si>
    <t>00:00:03.87 - Продавец: Здравствуйте, это Антон, эштермейстер, бухгалтерия, 00:00:43.56 - Продавец: А вы давно в Германии живете?</t>
  </si>
  <si>
    <t>Клиент упомянул желание обучения через джоб-центр и просил предложение (Angebot) для подачи заявки. Также говорил о 'биратор' (искаженно - берратор/консультант от джоб-центра). Это признаки ориентации на государственное финансирование через Gutschein/Jobcenter.</t>
  </si>
  <si>
    <t>00:03:46.81 - Клиент: Ну, конечно, желательно через джоб-центр, 00:02:42.45 - Клиент: биратор, как говорится, они на это начали, что пока вы не сделаете В1</t>
  </si>
  <si>
    <t>Клиент выразила готовность не растягивать обучение на год-два and хочет начать 'в ближайшее время', но показала осторожность при обсуждении конкретных сроков оплаты. Говорила 'не сейчас' относительно финансового решения, но проявляла интерес к августовскому потоку. Оценка 6 отражает положительную мотивацию при умеренной готовности к быстрому старту.</t>
  </si>
  <si>
    <t>00:06:27.41 - Продавец: И обучение вы планируете уже в ближайшее время? То есть растягивать на год, на два желания нет, правильно?, 00:06:29.33 - Клиент: Нет, нет., 00:16:25.13 - Клиент: За сколько я в поезд не впрыгну, к сожалению, 00:16:20.65 - Клиент: это будет нормально (про августовский поток)</t>
  </si>
  <si>
    <t>Клиент выразила сомнения в возможности самостоятельной оплаты ('Пока сложно сказать, что прям так горячим пирожком я', 'мне желательно джоб-центр'), но рассматривала варианты рассрочки и интересовалась стоимостью. Семейный бюджет ограничен, зависят от соцвыплат, но муж работает тайль-цайт. Оценка 3 отражает низкую, но не нулевую готовность к самофинансированию.</t>
  </si>
  <si>
    <t>00:14:24.90 - Клиент: Пока сложно сказать, что прям так горячим пирожком я..., 00:03:46.81 - Клиент: желательно через джоб-центр, 00:04:06.38 - Клиент: мы все равно, как семья, ну, по общему доходу мы на джоб-центре</t>
  </si>
  <si>
    <t>Клиент четко понимает ценность обучения, мотивированно говорит о смене сферы деятельности ('не сильно бы хотелось быть вечной уборщицей'), видит обучение как путь к профессиональной самореализации и финансовой независимости. Уверенно артикулирует свои цели и понимает необходимость переподготовки для работы в Германии.</t>
  </si>
  <si>
    <t>00:02:29.87 - Клиент: здесь не сильно бы хотелось быть вечной уборщицей, 00:02:29.87 - Клиент: проще пройти курсы как бы и просто искать там работу там на бухгалтер, 00:05:51.07 - Клиент: Мы уже будем совершенно самостоятельные, как говорится, люди</t>
  </si>
  <si>
    <t>Сумма оценок: Срочность (47) = 6, Платежеспособность (48) = 3, Потребность (49) = 8. Итого: 6 + 3 + 8 = 17. Примеры ключевых реплик: 'не растягивать на год-два' (срочность), 'желательно через джоб-центр' (платежеспособность), 'не хотелось быть вечной уборщицей' (потребность). Общий вывод: Средняя готовность - клиент мотивирован и понимает ценность, но ограничен финансово и осторожен в принятии решений.</t>
  </si>
  <si>
    <t>00:06:29.33 - Клиент: Нет, нет (про растягивание), 00:03:46.81 - Клиент: желательно через джоб-центр, 00:02:29.87 - Клиент: не сильно бы хотелось быть вечной уборщицей</t>
  </si>
  <si>
    <t>149164038_1815960652_70921b</t>
  </si>
  <si>
    <t>https://docs.google.com/document/d/1KNFWLzjCre0rV_ecJ2qj2dt3ebl5CSose4tIlclY_qs/edit?usp=drivesdk</t>
  </si>
  <si>
    <t>2025-07-03</t>
  </si>
  <si>
    <t>149164038_1815960652</t>
  </si>
  <si>
    <t>+4915155805749, Статус: Разговор состоялся</t>
  </si>
  <si>
    <t>15:28:29+02:00</t>
  </si>
  <si>
    <t>Ivan</t>
  </si>
  <si>
    <t>2025-06-27T17:11:36+02:00</t>
  </si>
  <si>
    <t>Lead from: https://sternmeister.de/education?utm_source=facebook&amp;utm_medium=r2_v2_liza&amp;utm_id=lp_short&amp;utm_campaign=%7Ccntry%3DGermany%7Creg%3Dall%7Cgls%3Dqual_lead%7Caid%7C120224919600630678&amp;utm_content=cid%7C120224919600550678%7Cgid%7C120224919600540678</t>
  </si>
  <si>
    <t>ИНТЕРЕС ПОДТВЕРЖДЕН </t>
  </si>
  <si>
    <t>https://sternmeister.kommo.com/leads/detail/12410256</t>
  </si>
  <si>
    <t>Екатерина Маслий</t>
  </si>
  <si>
    <t>Продавец не соблюл полную структуру приветствия. Отсутствует представление с указанием имени, названия компании Sternmeister и подтверждение от клиента о заявке на курс бухгалтерии. Продавец сразу перешел к программированию разговора без формального приветствия.</t>
  </si>
  <si>
    <t>00:00:06.91 - Продавец: Да, говорите., 00:00:07.73 - Продавец: Хорошо, у нас сейчас по времени займет около 25 минут, хорошо?</t>
  </si>
  <si>
    <t>Продавец озвучил все четыре смысловых блока программирования: уточнил время разговора (25 минут), объяснил структуру (знакомство, выяснение потребностей, презентация программы, обсуждение оплаты), получил согласие клиента на такой план.</t>
  </si>
  <si>
    <t>00:00:07.73 - Продавец: Хорошо, у нас сейчас по времени займет около 25 минут, хорошо?, 00:00:17.08 - Продавец: Ну, для начала мы с вами познакомимся, да, я уточню у вас несколько вопросов вообще, чтобы понять ваши цели, вашу мотивацию, подходим ли мы друг к другу., 00:00:24.53 - Продавец: Дальше расскажу про программу, как она проходит у нас, про варианты оплаты, если все подойдет, помогу зачислением.</t>
  </si>
  <si>
    <t>Вопрос о стоимости не поднимался Клиентом в начале разговора до этапа выяснения потребностей.</t>
  </si>
  <si>
    <t>Тема Jobcenter и финансирования через субсидии не поднималась в разговоре.</t>
  </si>
  <si>
    <t>Продавец задал общие вопросы для установления контакта и получил информацию о клиенте: сколько в Германии (3 года), чем занимается (строительство), образование (финансовое), мотивацию интереса к курсам.</t>
  </si>
  <si>
    <t>00:00:34.15 - Продавец: Расскажите немножко о себе., 00:00:35.25 - Продавец: Как давно в Германии?, 00:00:36.25 - Продавец: Чем занимались?, 00:00:36.95 - Продавец: Почему заинтересовались курсами?, 00:00:41.05 - Клиент: В Германии около трех лет., 00:00:44.25 - Клиент: Занят в сфере строительства., 00:00:48.36 - Клиент: Образование у меня финансовое.</t>
  </si>
  <si>
    <t>Продавец получил информацию только о текущей ситуации и мотивации клиента, но не выявил полную структуру Точки А. Отсутствует информация о попытках клиента изменить ситуацию и его видении идеального решения. Продавец не углубился в проблематику текущей ситуации.</t>
  </si>
  <si>
    <t>00:00:48.36 - Клиент: Образование у меня финансовое., 00:01:00.09 - Клиент: Понимаю, что в Германии нужно хорошо разбираться в налогообложении, чтобы не попасть в маргарит, как говорят у нас., 00:01:31.52 - Клиент: У меня есть сейчас работа, но я чувствую, что мне не хватает скилла, знаете?</t>
  </si>
  <si>
    <t>Продавец не задал вопросы для уточнения влияния текущей ситуации клиента на его жизнь или отношения с семьей. Не было попыток выяснить, как нехватка знаний сказывается на жизни клиента.</t>
  </si>
  <si>
    <t>Продавец не получил информацию по ключевым элементам SMART-структуры Точки В. Отсутствует конкретная цель, желаемый уровень дохода, значимость цели и сроки достижения. Клиент сказал, что хочет сначала выслушать предложение продавца.</t>
  </si>
  <si>
    <t>00:02:01.87 - Клиент: Нет, я подал заявку, чтобы как бы вам..., 00:02:04.78 - Клиент: в первую очередь выслушать, чтобы вы мне сказали о сроках, чтобы вы сказали о ваших программах, о вашей стоимости, как это все работает., 00:02:14.22 - Клиент: И потом уже буду принимать решения.</t>
  </si>
  <si>
    <t>Цели Клиента и Точка Б не обсуждались, так как клиент попросил сначала выслушать презентацию программы.</t>
  </si>
  <si>
    <t>Продавец рассказал о зарплатах бухгалтеров в Германии, указав конкретные цифры: от 47 тысяч евро в год на старте и до 55 тысяч через год. Применил фразу о доходах, близкую к требуемой по критерию.</t>
  </si>
  <si>
    <t>00:13:46.07 - Продавец: В Германии, я вам скажу, что на старте бухгалтеры зарабатывают от 300 до 500 тысяч евро в месяц., 00:13:51.63 - Продавец: То есть в год это от 47 тысяч евро., 00:13:57.02 - Продавец: То есть через год можно выйти уже на доход от 55 тысяч евро.</t>
  </si>
  <si>
    <t>Продавец резюмировал ключевые моменты перед презентацией: текущую ситуацию клиента (3 года в Германии, работа в строительстве, финансовое образование), потребность в повышении знаний по налогообложению, получил подтверждение от клиента.</t>
  </si>
  <si>
    <t>00:02:18.14 - Продавец: Давайте тогда коротко резюмирую, что мы с вами обсудили, и расскажу вам про программы и так далее., 00:02:22.18 - Продавец: То есть вы три года, получается, в Германии занимаетесь, так скажем, работаете в сфере строительства, финансовое образование есть, и вы понимаете, что вам недостаточно знаний., 00:02:29.90 - Продавец: Вы хотите повысить уровень знаний в плане, 00:02:32.13 - Продавец: налогообложения и так далее, то есть в плане полкерии.</t>
  </si>
  <si>
    <t>Продавец адаптировал презентацию под потребности клиента, связав содержание курса с его финансовым образованием и опытом работы с 1С, сделав отсылку к тому, что DATEV похожа на 1С.</t>
  </si>
  <si>
    <t>00:08:13.67 - Клиент: Да, сталкивались., 00:08:14.69 - Продавец: Ну, это вот, можно сказать, аналог АГНС, так что вам будет попроще даже, чем другим студентам.</t>
  </si>
  <si>
    <t>Продавец проводил презентацию в диалоге, задавая вопросы и получая реакцию клиента: спрашивал про уровень языка, про время, выяснял про опыт с программой 1С, уточнял комфортность времени для обучения.</t>
  </si>
  <si>
    <t>00:05:44.55 - Продавец: Комфортно было бы по времени, как думаете?, 00:05:58.10 - Продавец: Что касается языка, у нас вообще уровень языка какой?, 00:08:13.67 - Клиент: Да, сталкивались.</t>
  </si>
  <si>
    <t>Продавец задал уточняющий вопрос о том, что понравилось в программе и получил положительную реакцию клиента. Клиент отметил гибкость и практику как привлекательные аспекты.</t>
  </si>
  <si>
    <t>00:10:58.36 - Продавец: Подскажите, что больше всего понравилось вообще, что откликнулось в программе?, 00:11:02.24 - Продавец: Решает ли наша программа ваши какие-то задачи?, 00:11:08.11 - Клиент: Да, решает, наверное, задачи в программе, что мне понравилось., 00:11:12.56 - Клиент: Ну, гибкость, естественно, в первую очередь., 00:11:16.44 - Клиент: И практика.</t>
  </si>
  <si>
    <t>Продавец создал эффект FOMO, сообщив что у них стартанул поток вчера, осталось только два места, и что стоимость следующего потока будет на 800 евро дороже. Это создало ощущение упущенной выгоды и ограниченности предложения.</t>
  </si>
  <si>
    <t>00:11:30.68 - Продавец: У нас сейчас вообще максимально выгодное предложение есть, потому что у нас стартанул поток., 00:11:36.28 - Продавец: Вчера у нас был первый урок, но там осталось у нас два места., 00:15:09.58 - Продавец: Ну, в сентябре у нас будет поток набираться, но там по стоимости уже не будет такой акции., 00:15:14.74 - Продавец: То есть нам уже объявили о том, что если и будет акция в сентябре, то там будет на 800 евро дороже.</t>
  </si>
  <si>
    <t>В момент 00:14:54.44 клиент сказал 'В этот поток, к сожалению, нет, потому что у меня отрезок физически не будет времени' и 'это уже, скорее всего, с сентября' - это возражение 'не сейчас'. В момент 00:16:40.93 клиент сказал 'Давайте в понедельник позвоним, я думаю, что выходные посмотрю и приму их' - это возражение 'подумаю'. Оба возражения прозвучали уверенно, без раздражения.</t>
  </si>
  <si>
    <t>00:14:54.44 - Клиент: В этот поток, к сожалению, нет, потому что у меня отрезок физически не будет времени, 00:14:57.74 - Клиент: Да, это уже, скорее всего, с сентября., 00:16:40.93 - Клиент: Давайте в понедельник позвоним, я думаю, что выходные посмотрю и приму их.</t>
  </si>
  <si>
    <t>Продавец отработал 2 возражения из 2 прозвучавших по корректной структуре. На возражение 'не сейчас' продавец присоединился, предложил альтернативу (застолбить место за 100 евро), дал аргумент (экономия 800 евро). На возражение 'подумаю' продавец присоединился, предложил отправить информацию, договорился о следующем звонке.</t>
  </si>
  <si>
    <t>00:15:14.74 - Продавец: То есть нам уже объявили о том, что если и будет акция в сентябре, то там будет на 800 евро дороже., 00:15:29.34 - Продавец: Я максимум могу вам предложить, знаете, если вам все подошло, то это застолбите с собой по этой цене акционы, 00:16:05.47 - Продавец: Я вам могу даже демокурс открыть.</t>
  </si>
  <si>
    <t>Продавец корректно отработал ложное возражение 'подумаю'. Он не закрыл разговор, предложил отправить информацию и демокурс, договорился о конкретном времени следующего звонка. На возражение 'не сейчас' предложил альтернативу в виде депозита для бронирования места.</t>
  </si>
  <si>
    <t>00:16:04.57 - Продавец: Конечно, конечно., 00:16:05.47 - Продавец: Я вам могу даже демокурс открыть., 00:16:06.89 - Продавец: Можете пробный урок попробовать пройти, посмотреть., 00:16:24.36 - Продавец: Подскажите, пожалуйста, сколько вам времени нужно для того, чтобы ознакомиться</t>
  </si>
  <si>
    <t>А) Продавец отрабатывал возражения корректно: на 'не сейчас' предложил альтернативу (депозит), на 'подумаю' предложил дополнительные материалы и зафиксировал следующий шаг. Структура присоединение-уточнение-аргумент-призыв к действию соблюдалась.
Б) Анализ через методики:
- SPIN: Продавец мог задать больше Situation и Problem вопросов для выявления истинных причин откладывания
- Challenger: Не хватило провокации - продавец мог бросить вызов логике клиента о переносе на сентябрь
- NEAT: Продавец не выявил полностью экономические последствия откладывания решения
В) Примеры фраз по методикам:
- SPIN (Problem): 'А что изменится к сентябрю в вашей ситуации, что позволит вам тогда начать?' - выявила бы истинную причину
- Challenger: 'Иван, а что если к сентябрю конкуренция за рабочие места увеличится, и вы упустите момент?' - создала бы urgency
Эти подходы помогли бы укрепить доверие, выявить настоящую причину отказа и продвинуть диалог к принятию решения.</t>
  </si>
  <si>
    <t>А) Вопросы клиента: В 00:01:20.87 клиент уточнил про использование навыков в работе или трудоустройство. В 00:13:54.66 спросил 'А брутто?' по поводу зарплат.
Б) Продавец дал понятные ответы на оба вопроса. На первый - уточнил цели клиента и подстроился под его потребность повышения квалификации. На второй - подтвердил, что речь о зарплате брутто.
В) Все вопросы были отвечены полностью и по существу. Продавец не уходил от ответов и не откладывал их 'на потом'.
Неотвеченных вопросов не было. Продавец проявил компетентность и готовность отвечать на любые вопросы клиента, что укрепляло доверие.</t>
  </si>
  <si>
    <t>Продавец не соблюдал алгоритм презентации цены. Он не озвучил ценность курса перед называнием цены, а сразу перешел к стоимости. Также нарушил принцип 'от большего к меньшему' - сразу предложил рассрочку на 10 месяцев по 390 евро, хотя клиент заявил о финансовых ограничениях.</t>
  </si>
  <si>
    <t>00:11:56.46 - Продавец: То есть если вы зайдете в этот поток, стоимость будет 3900., 00:13:19.21 - Продавец: Максимальный срок, который мы можем предоставить, это на 10 месяцев., 00:13:21.34 - Продавец: Там по платежам будет по 390 евро.</t>
  </si>
  <si>
    <t>Продавец задал прямые вопросы о подходящем варианте оплаты и получил ответ клиента. Клиент выбрал рассрочку на 10 месяцев по 390 евро, объяснив это семейной ситуацией (супруга не работает).</t>
  </si>
  <si>
    <t>00:12:18.85 - Продавец: Вам подходит вообще или вы рассматриваете там рассрочки?, 00:14:08.36 - Продавец: Какой из перечисленных вариантов по рассрочке вам больше откликается вообще?, 00:14:13.92 - Клиент: Учитывая мою финансовую и семейную ситуацию, сейчас супруга не работает, и, конечно, ближе вариант с рассрочкой там по 350 или по 390 евро в месяц.</t>
  </si>
  <si>
    <t>Клиент не выразил согласия оплачивать в текущем потоке, а перенес решение на сентябрь, поэтому подробное обсуждение способов оплаты не проводилось.</t>
  </si>
  <si>
    <t>Продавец сделал финальное предложение зачислиться в поток и получил ответ клиента. Когда клиент отказался от текущего потока, продавец предложил альтернативу - внести депозит 100 евро для бронирования места в сентябрьском потоке.</t>
  </si>
  <si>
    <t>00:14:34.06 - Продавец: Если вам по формату, в принципе, все нравится, все подходит, и по стоимости тоже, да, мы с вами выяснили, что вам подходит больше вариантов по рассрочке на 10 месяцев, вы готовы зачиститься в этот поток?, 00:15:29.34 - Продавец: Я максимум могу вам предложить, знаете, если вам все подошло, то это застолбите с собой по этой цене акционы</t>
  </si>
  <si>
    <t>Продавец зафиксировал четкие следующие шаги: договорился о звонке в понедельник в 15:00, пообещал отправить информацию и демокурс. Были закреплены конкретные договоренности с указанием времени.</t>
  </si>
  <si>
    <t>00:16:24.36 - Продавец: Подскажите, пожалуйста, сколько вам времени нужно для того, чтобы ознакомиться, 00:17:00.61 - Клиент: Понедельник, давайте 15.00., 00:17:04.05 - Продавец: Все, договорились, Иван., 00:17:21.25 - Продавец: В понедельник с вами, естественно, пойду.</t>
  </si>
  <si>
    <t>Продавец не применил сторителлинг и не рассказал историю успеха клиентов курсов Sternmeister в качестве примера и мотивации.</t>
  </si>
  <si>
    <t>Продавец был вежлив и доброжелателен: обращался к клиенту по имени (Иван), использовал вежливые слова ('пожалуйста', 'спасибо'), поддерживал уважительный тон, подстраивался под клиента.</t>
  </si>
  <si>
    <t>00:17:04.05 - Продавец: Все, договорились, Иван., 00:16:24.36 - Продавец: Подскажите, пожалуйста, сколько вам времени нужно, 00:16:47.07 - Продавец: Смотрите, если будут какие-то вопросы, пишите мне, пожалуйста</t>
  </si>
  <si>
    <t>Продавец использовал активное слушание ('хорошо', 'поняла', 'супер'), перефразировал важные мысли клиента при резюмировании, реагировал на высказывания клиента комментариями и уточнениями.</t>
  </si>
  <si>
    <t>00:07:39.74 - Продавец: А, супер, поняла, поняла., 00:11:18.98 - Продавец: Так, супер, хорошо, хорошо., 00:02:22.18 - Продавец: То есть вы три года, получается, в Германии занимаетесь</t>
  </si>
  <si>
    <t>Продавец не перебивал клиента, не проявлял раздражения или агрессии, сохранял спокойный профессиональный тон на протяжении всего разговора, не использовал фразы типа 'я уже объяснял'.</t>
  </si>
  <si>
    <t>Продавец не допустил критических ошибок: не высказывался негативно о компании, не отговаривал клиента, закрепил конкретный следующий шаг с датой и временем (понедельник 15:00), пообещал отправить материалы.</t>
  </si>
  <si>
    <t>Продавец допустил ошибку в озвучивании зарплат бухгалтеров: сказал 'от 300 до 500 тысяч евро в месяц', что является явно завышенными цифрами (должно быть от 3000 до 5000 евро). Это могло ввести клиента в заблуждение относительно реальных доходов в профессии.</t>
  </si>
  <si>
    <t>00:13:46.07 - Продавец: В Германии, я вам скажу, что на старте бухгалтеры зарабатывают от 300 до 500 тысяч евро в месяц.</t>
  </si>
  <si>
    <t>Критических нарушений с точки зрения закона не зафиксировано. Продавец не давал ложных гарантий трудоустройства, не разглашал внутреннюю информацию, не делал неправомерных обещаний относительно лицензий.</t>
  </si>
  <si>
    <t>Диалог длился 1057 секунд (17:37). Продавец говорил 778 секунд, Клиент — 279 секунд. У Продавца — 51 реплика, у Клиента — 29 реплик. Соотношение: 778 / 1057 = 74%.</t>
  </si>
  <si>
    <t>1. Консультативные продажи 2.0: 6/10 - продавец выяснил потребности, но больше говорил сам, недостаточно слушал клиента
2. Эмоциональный резонанс: 5/10 - не выявлена эмоциональная мотивация, не использован сторителлинг
3. Needs-Based Selling: 7/10 - потребности выявлены частично, презентация адаптирована
4. Story-Based Selling: 3/10 - истории не рассказывались, упущена возможность вовлечь через примеры
5. Модель 4P: 10/10 - проблема выявлена (нехватка знаний), обещание дано (обучение), доказательства приведены (программа), предложение сделано. Итого: 6+5+7+3+10=31</t>
  </si>
  <si>
    <t>А) Фактический скрипт: 1) Программирование (25 минут, план разговора) 2) Знакомство (опыт, ситуация) 3) Резюмирование 4) Презентация курса с вовлечением 5) Выяснение реакции 6) Презентация стоимости 7) Отработка возражений 8) Закрепление следующих шагов.
Б) Особенности: пропущено полное приветствие, не выявлены глубокие потребности, сразу перешел к презентации по запросу клиента.
В) Сработавшие элементы: программирование, резюмирование, адаптированная презентация, вовлекающие вопросы.
Г) Не сработавшие: отсутствие углубления в боли клиента, упущение сторителлинга. Разговор приблизил клиента к покупке - зафиксирован следующий шаг.</t>
  </si>
  <si>
    <t>А) Что сработало: конкретные цифры по зарплатам, гибкость программы, практическая направленность, связь с его опытом (1С-DATEV).
Б) Что могло сработать сильнее: углубление в финансовые потери от промедления, истории успеха коллег, акцент на ROI.
В) Pain-killer line: 'Иван, каждый месяц без новых знаний - это потеря примерно 1000 евро в месяц разницы между вашей текущей зарплатой и зарплатой бухгалтера. За 7 месяцев обучения вы теряете 7000 евро возможного дохода.' Сказать в момент возражения о переносе на сентябрь.
Г) На следующем контакте: показать ROI расчеты, привести конкретные примеры карьерного роста, избегать давления по срокам.</t>
  </si>
  <si>
    <t>А) Клиент выразил потребность в повышении знаний по налогообложению и желание избежать ошибок. Подошли бы УТП: персонализированная система мотивации, группа поддержки, дашборд с прогрессом.
Б) Упомянуты поверхностно: GPT Co-pilot (только название), карьерный центр (не раскрыт), немецкий для бухгалтеров.
В) Стоило добавить: 'У нас есть AI-помощник, который подскажет, как правильно рассчитать налоги в любой ситуации' - для снижения страха ошибок. 'Персональный куратор поможет не потеряться в немецкой терминологии' - для языкового барьера.
Г) Не хватает УТП: индивидуальное сопровождение после курса для первых проектов, система менторинга от успешных выпускников.</t>
  </si>
  <si>
    <t>Почему клиент согласился: Продавец предложил гибкое решение - депозит 100 евро для бронирования места в сентябрьском потоке со скидкой. Клиент согласился рассмотреть предложение и назначил следующий звонок. Продавец правильно адаптировался под ограничения клиента по времени и финансам, не настаивал на немедленной оплате полной суммы.</t>
  </si>
  <si>
    <t>А) Содержание: Звонок включал знакомство, выяснение опыта клиента (3 года в Германии, строительство, финансовое образование), презентацию 7-месячной программы обучения бухгалтеров, обсуждение стоимости и рассрочки, отработку возражений о времени начала.
Б) Реакция клиента: Заинтересованная на этапе презентации (отметил гибкость и практику), позитивная реакция на программу, но возражение по срокам начала (хочет начать в сентябре вместо текущего потока).
В) Договоренности: Зафиксирован звонок на понедельник в 15:00, продавец отправит демокурс и информацию, клиент рассмотрит депозит 100 евро для бронирования места в сентябрьском потоке.</t>
  </si>
  <si>
    <t>1. Ошибка в цифрах зарплат: Сказал '300-500 тысяч евро в месяц' вместо 3000-5000. Контекст: обсуждение доходов бухгалтеров. Следовало: 'На старте 3000-5000 евро в месяц'. Эффект: устранение недоверия из-за нереальных цифр.
2. Поверхностное выявление потребностей: Не углубился в боли клиента. Контекст: клиент сказал о нехватке скиллов. Следовало: 'Расскажите подробнее, в каких ситуациях вы это чувствуете больше всего?'. Эффект: понимание истинной мотивации.
3. Отсутствие сторителлинга: Не использовал истории успеха. Контекст: презентация программы. Следовало: рассказать историю Виктории или Гульнары. Эффект: эмоциональное вовлечение и доверие.</t>
  </si>
  <si>
    <t>1. Резюмирование перед презентацией: Четко структурировал информацию о клиенте перед переходом к программе. Контекст: 'То есть вы три года в Германии...'. Почему сработало: клиент почувствовал, что его услышали. Техника: консультативные продажи. Тип: массовая.
2. Адаптация под опыт клиента: Связал DATEV с 1С, когда узнал об опыте. Контекст: 'Вам будет попроще, чем другим студентам'. Почему сработало: снизил барьер сложности. Техника: персонализация. Тип: массовая.
3. Гибкая отработка возражений: Предложил альтернативу (депозит) вместо давления. Контекст: возражение 'не сейчас'. Почему сработало: сохранил отношения и возможность продажи. Техника: win-win решения. Тип: массовая.</t>
  </si>
  <si>
    <t>А) Психологический портрет: Рациональный, осторожный тип. Мужчина, имя Иван, номер 749. Самокритичен ('очень самокритичен'), методичен в принятии решений ('выходные посмотрю и приму решение'). Уверен в диалоге, не проявляет эмоций.
Б) Цели: Повышение профессиональных знаний в текущей работе, избежание ошибок в налогообложении ('чтобы не попасть в маргарит'). Потребность в развитии ('мне не хватает скилла'). Мотивация - профессиональный рост в рамках текущей занятости.
В) Для маркетинга: Триггер 'избежание ошибок' сильнее 'заработка'. Канал - таргетинг (сам отметил). Подходят рациональные аргументы, конкретные цифры. Акцент на повышение квалификации, а не смену профессии. Семейные ограничения влияют на бюджет.</t>
  </si>
  <si>
    <t>Разговор завершился логично с взаимными проданиями и договоренностями о следующем контакте. Участники попрощались корректно.</t>
  </si>
  <si>
    <t>Звонок начинается с нового контакта. Есть программирование разговора, знакомство, базовые вопросы о ситуации и мотивации клиента.</t>
  </si>
  <si>
    <t>Клиент не упоминал государственные субсидии, Gutschein, Jobcenter или потребность в получении Angebot для подачи заявки на финансирование.</t>
  </si>
  <si>
    <t>Клиент выразил умеренную готовность начать обучение, но не в ближайшие 2 недели. Он сказал 'это уже, скорее всего, с сентября' и объяснил, что 'физически не будет времени' плюс нужно 'уехать какое-то время'. Это указывает на интерес к обучению, но с откладыванием на несколько месяцев.</t>
  </si>
  <si>
    <t>00:14:46.17 - Клиент: В этот поток, к сожалению, нет, потому что у меня отрезок физически не будет времени, 00:14:54.44 - Клиент: Да, это уже, скорее всего, с сентября.</t>
  </si>
  <si>
    <t>Клиент обсуждал рассрочку и выбрал вариант по 390 евро в месяц, объяснив финансовые ограничения семейной ситуацией (супруга не работает). Однако он не отказался от оплаты совсем и рассматривает депозит 100 евро для бронирования места.</t>
  </si>
  <si>
    <t>00:12:23.70 - Клиент: Я однозначно рассматриваю рассрочку, потому что, к сожалению, нет свободных средств., 00:14:13.92 - Клиент: Учитывая мою финансовую и семейную ситуацию, сейчас супруга не работает, и, конечно, ближе вариант с рассрочкой там по 350 или по 390 евро в месяц.</t>
  </si>
  <si>
    <t>Клиент четко понимает ценность обучения для себя. Он объяснил мотивацию ('нужно хорошо разбираться в налогообложении'), признал нехватку знаний ('мне не хватает скилла'), и сказал что программа 'решает задачи'. Выразил интерес к практике и гибкости.</t>
  </si>
  <si>
    <t>00:01:00.09 - Клиент: Понимаю, что в Германии нужно хорошо разбираться в налогообложении, 00:01:31.52 - Клиент: У меня есть сейчас работа, но я чувствую, что мне не хватает скилла, 00:11:08.11 - Клиент: Да, решает, наверное, задачи в программе</t>
  </si>
  <si>
    <t>Сумма оценок: Срочность (47) = 3, Платежеспособность (48) = 6, Потребность (49) = 8. Итого: 3 + 6 + 8 = 17. Примеры реплик: клиент понимает необходимость обучения, готов обсуждать рассрочку, но хочет отложить начало на сентябрь. Общий вывод: Средняя готовность - клиент заинтересован и видит ценность, но ограничен по времени и финансам.</t>
  </si>
  <si>
    <t>172738448_1817869433_2f3397</t>
  </si>
  <si>
    <t>https://docs.google.com/document/d/1mxuUlV_PKebeW_b2Sbb7pFNlRhYWk0LpeFrCRn4PIjI/edit?usp=drivesdk</t>
  </si>
  <si>
    <t>2025-07-07 - 2025-07-13</t>
  </si>
  <si>
    <t>2025-07-08</t>
  </si>
  <si>
    <t>172738448_1817869433</t>
  </si>
  <si>
    <t>+4915212210532, Статус: Разговор состоялся</t>
  </si>
  <si>
    <t>13:31:26+02:00</t>
  </si>
  <si>
    <t>Volodymyr</t>
  </si>
  <si>
    <t>2025-07-07T13:20:11+02:00</t>
  </si>
  <si>
    <t>Lead from: https://sternmeister.de/?utm_source=facebook&amp;utm_medium=site_nikita&amp;utm_campaign=nikita_education_dynamic_creative_3%7Caid%7C120225938634580678&amp;utm_content=cid%7C120225795651070678%7Cgid%7C120225938634550678%7Cadsn%7Cadv%2B_de_25%2B_minusE%7Cai</t>
  </si>
  <si>
    <t>https://sternmeister.kommo.com/leads/detail/12690424</t>
  </si>
  <si>
    <t>В транскрипции отсутствует начало разговора. Запись начинается с середины диалога на таймкоде [00:00:19.00], где продавец уже рассказывает план разговора. Нет приветствия, представления или получения подтверждения от клиента о заявке на обучение.</t>
  </si>
  <si>
    <t>00:00:19.00 - Продавец: Я расскажу про нашу учебу, наши условия, если группа. Могу зачислиться. Вот такой план. Договорились?</t>
  </si>
  <si>
    <t>Продавец частично озвучил план, но не соблюдал полную структуру программирования. Он не уточнил удобность времени и продолжительность (20-30 минут), не проговорил этап взаимного изучения подходящести друг другу, сразу перешел к рассказу об учебе. Отсутствует четкая структура из четырех смысловых блоков.</t>
  </si>
  <si>
    <t>00:00:19.00 - Продавец: Я расскажу про нашу учебу, наши условия, если группа. Могу зачислиться. Вот такой план. Договорились?, 00:00:33.00 - Клиент: Да, конечно.</t>
  </si>
  <si>
    <t>Вопрос о стоимости не поднимался в начале разговора до этапа выяснения потребностей клиента.</t>
  </si>
  <si>
    <t>Продавец успешно установил контакт с клиентом, задав общие вопросы о его деятельности и опыте. Выяснил, что клиент работает в Германии два года на заводе, имеет высшее образование по экономике предприятия. Клиент сам рассказал о своей текущей ситуации и мотивации.</t>
  </si>
  <si>
    <t>00:00:34.38 - Продавец: Так, смотрите, Владимир, давайте, чтобы немножко познакомиться, расскажите просто про себя, общий вводный, вообще чем занимаетесь, кем работаете и как давно вы в Германии?, 00:00:45.54 - Клиент: В Германии два года уже работаю на заводе Stelter, который делает коробки передач для автомобилей., 00:02:29.84 - Клиент: Высшее., 00:02:33.68 - Клиент: Экономика предприятия.</t>
  </si>
  <si>
    <t>Продавец получил ответы на все 4 элемента фрейма Точки А: опыт клиента (работа на заводе, образование по экономике), текущая ситуация (монотонная работа, низкая зарплата 2-2.5 тыс евро), попытки изменить ситуацию (рассматривает разные направления включая IT и бухгалтерию), идеальное решение (что-то легче и понятнее, доход от 3 тыс евро).</t>
  </si>
  <si>
    <t>00:01:16.08 - Клиент: Просто рассматриваю, если честно, не только бухгалтерию, смотрю много вариантов, просто мне интересно не работать только на одном заводе, а развиваться, что делать., 00:01:37.43 - Клиент: По деньгам понятно, что не перспективно, зарплата фиксированная определенная и не самая большая, которую можно сформировать. Плюс сама работа одна и та же каждый день в течение года, полтора года начинает надоедать., 00:02:22.63 - Клиент: То, что для меня будет легче и понятнее., 00:04:02.59 - Клиент: Сейчас я получаю две - две с половиной тысячи. Для меня это мало. Хотелось бы больше. Бы 3,5, от 3, скажем так.</t>
  </si>
  <si>
    <t>Продавец не задал уточняющих вопросов о влиянии текущей ситуации клиента на его жизнь или отношения с семьей. Он не спросил, как монотонная работа и низкая зарплата сказываются на жизни клиента, готов ли он ждать еще год без изменений.</t>
  </si>
  <si>
    <t>Продавец получил информацию по всем 4 элементам SMART-структуры: конкретная цель (смена профессии с завода на бухгалтерию), измеримый результат (доход от 3 тысяч евро), значимость цели (развитие, избежание монотонности, финансовое улучшение), срок достижения (примерно год).</t>
  </si>
  <si>
    <t>00:02:22.63 - Клиент: То, что для меня будет легче и понятнее., 00:04:02.59 - Клиент: Сейчас я получаю две - две с половиной тысячи. Для меня это мало. Хотелось бы больше. Бы 3,5, от 3, скажем так., 00:07:47.18 - Клиент: За год, да, я рассматриваю примерно год. Можно, понятно, и раньше, если разобраться, вникнуть в это быстрее. Да, это год.</t>
  </si>
  <si>
    <t>Клиент дал достаточно конкретные ответы по всем пунктам SMART-структуры, поэтому необходимости в дополнительных уточнениях не возникло.</t>
  </si>
  <si>
    <t>Продавец рассказал о преимуществах профессии бухгалтера, но применил только одну из необходимых фраз о доходах и перспективах роста. Он не упомянул социальный пакет, оплачиваемые больничные, премии, отпускные, уверенность в работе при кризисах, и не спросил о том, какие эмоции клиент будет испытывать при достижении целей.</t>
  </si>
  <si>
    <t>00:04:04.59 - Продавец: Здесь на 100% это бьется, потому что бухгалтер начинающий с небольшим опытом стартовая зарплата – это от 3 тысяч в месяц, то есть в год примерно 47 тысяч евро, но это брутто, я считаю, вместе с налогами. Чисто как раз-таки от 3 будет получаться. И здесь все хорошо, что тут большие перспективы по календарному росту.</t>
  </si>
  <si>
    <t>Продавец четко резюмировал ключевые моменты перед переходом к презентации: текущая ситуация клиента (работа на заводе, монотонная, низкооплачиваемая), цели (смена профессии на бухгалтерию), образование (финансовое), и получил подтверждение от клиента.</t>
  </si>
  <si>
    <t>00:08:09.06 - Продавец: Смотрите, я сейчас подрезюмирую, что услышал от вас. Проверьте, если вдруг что-то не так, и двинемся уже к своей программе, тогда расскажу подробнее про нее. Так, вы мне рассказали, что живете в Германии уже больше двух лет, работаете сейчас на заводе, и работа не нравится, потому что она монотонная, рутинная, по деньгам тоже не особо много, и чувствуете, что никакого развития, перспектив нет. При этом у вас финансовое образование, вы в цифрах разбираетесь. Вы собираетесь поэтому рассматривать для себя бухгалтерию. Правильно я вас понял?, 00:08:46.25 - Клиент: Абсолютно.</t>
  </si>
  <si>
    <t>Продавец адаптировал презентацию под цели и запросы клиента. Он связал содержание курса с ранее озвученными потребностями: упомянул, что клиенту с финансовым образованием будет легче разобраться в бухгалтерии чем в IT, учел его график работы, показал как курс поможет достичь желаемого дохода.</t>
  </si>
  <si>
    <t>00:02:35.38 - Продавец: А, вон как, экономика предприятия. Тогда вам тут разобраться будет гораздо проще, чем в IT, так скажем. Вообще несравненно проще. Потому что многие вещи вы не то чтобы знаете, но, по крайней мере, слышали, понимаете, как работают., 00:10:29.46 - Продавец: Смотрите, здесь можно так поступить. Можно договориться, попробовать перевести, иногда так делают. Плюс все занятия остаются в записи у вас. Если что-то не успели, просто пересмотрите.</t>
  </si>
  <si>
    <t>Презентация проходила в диалоге с активным вовлечением клиента. Продавец задавал уточняющие вопросы, проверял понимание и подходящность формата, например спрашивал про график работы, удобство онлайн формата, языковые особенности. Клиент активно участвовал, задавал вопросы и комментировал.</t>
  </si>
  <si>
    <t>00:10:11.98 - Клиент: У меня, например, график плавающий. Одну неделю я хожу первая смена, потом вторая смена и ночная смена. Одну неделю, например, если во второй половине дня, можно будет перенести на первую половину дня или нет?, 00:11:55.43 - Продавец: По формату удобно?, 00:11:58.51 - Клиент: Нормально, ну конечно., 00:12:46.27 - Продавец: Здесь подходит, как я понимаю?, 00:12:48.57 - Клиент: Да, да, конечно.</t>
  </si>
  <si>
    <t>Продавец не задал вопрос о том, что из презентации оказалось наиболее важным или интересным для клиента. Хотя клиент проявлял положительную реакцию по ходу презентации, продавец не уточнил готовность начать сегодня после окончания презентации. Разговор прервался на моменте обмена контактами.</t>
  </si>
  <si>
    <t>00:14:09.34 - Клиент: Да, да, да. Смотрите, у меня WhatsApp на другом номере немецком. Могу продиктовать вам или..., 00:14:14.47 - Продавец: Давайте, давайте.</t>
  </si>
  <si>
    <t>Разговор не дошёл до конца презентации курса, прервался на моменте обмена контактами.</t>
  </si>
  <si>
    <t>В разговоре клиент не озвучивал возражений. Наоборот, он проявлял заинтересованность, задавал уточняющие вопросы о формате обучения, соглашался с предложениями продавца и выражал готовность получить дополнительную информацию.</t>
  </si>
  <si>
    <t>Возражения в разговоре не прозвучали.</t>
  </si>
  <si>
    <t>А) Анализ отработки возражений: В данном звонке возражения не прозвучали, поэтому оценить качество их отработки невозможно. Клиент проявлял заинтересованность на протяжении всего разговора.
Б) Разбор с точки зрения методик продаж:
1) SPIN-продажи: Продавец хорошо применил Ситуационные вопросы (текущая работа, образование), Проблемные вопросы (что не устраивает в работе), частично Извлекающие вопросы (желаемый доход, сроки). Однако не хватало Направляющих вопросов о последствиях бездействия.
2) Challenger Sale: Продавец предоставил новую информацию о рынке бухгалтеров в Германии, но не бросил вызов текущему мышлению клиента и не создал конструктивное напряжение.
3) Gap Selling: Хорошо выявлен текущий стейт (работа на заводе), будущий стейт (работа бухгалтером), но недостаточно проработан эмоциональный гэп.
В) Примеры фраз для усиления:
SPIN (Направляющий вопрос): "Владимир, если через год ничего не изменится и вы будете также работать на заводе за ту же зарплату, как это повлияет на ваши планы в Германии?" - помогло бы усилить мотивацию к действию.
Challenger (провокационное утверждение): "Большинство людей думают, что можно подождать с переменами, но в бухгалтерии сейчас золотое время - через 2-3 года конкуренция вырастет в разы" - создало бы срочность.
Эти подходы могли бы укрепить доверие через демонстрацию экспертности, выявить скрытые страхи бездействия и продвинуть к принятию решения через создание позитивного давления времени.</t>
  </si>
  <si>
    <t>А) Вопросы клиента по ходу разговора:
1. [00:10:11.98] - Вопрос о гибкости графика при плавающих сменах - связан с формататом обучения
2. Неявные вопросы о WhatsApp номере для получения информации
Б) Качество ответов продавца:
1. На вопрос о графике продавец дал исчерпывающий ответ: предложил несколько вариантов решения (перенос в другую группу, записи занятий, занятия в другое время), показал гибкость системы
2. На просьбу о контактах отреагировал позитивно и готов был принять немецкий номер
В) Дополнительные рекомендации:
Все вопросы были отработаны корректно. Продавец мог бы проактивно задать дополнительные уточняющие вопросы:
- "Какие еще аспекты формата обучения вас беспокоят?"
- "Есть ли другие технические моменты, которые хотели бы уточнить перед началом?"
Неотвеченных вопросов не было. Продавец продемонстрировал профессионализм в работе с техническими вопросами, что укрепило доверие клиента.</t>
  </si>
  <si>
    <t>00:10:11.98 - Клиент: У меня, например, график плавающий. Одну неделю я хожу первая смена, потом вторая смена и ночная смена. Одну неделю, например, если во второй половине дня, можно будет перенести на первую половину дня или нет?, 00:10:29.46 - Продавец: Смотрите, здесь можно так поступить. Можно договориться, попробовать перевести, иногда так делают. Плюс все занятия остаются в записи у вас.</t>
  </si>
  <si>
    <t>Разговор не дошёл до этапа обсуждения оплаты.</t>
  </si>
  <si>
    <t>Разговор не дошёл до обсуждения оплаты.</t>
  </si>
  <si>
    <t>Продавец не применил сторителлинг и не рассказал историю-пример успешного клиента для мотивации. Отсутствовали истории типа Гульнары или Виктории, которые могли бы показать клиенту возможности трансформации и вдохновить на действия.</t>
  </si>
  <si>
    <t>Продавец проявил высокий уровень вежливости и доброжелательности: обращался к клиенту по имени (Владимир) минимум 3 раза, использовал вежливые формулировки ('смотрите', 'давайте', 'хорошо'), подстраивался под клиента, внимательно выслушивал ответы и проявлял профессиональную теплоту в общении.</t>
  </si>
  <si>
    <t>00:00:34.38 - Продавец: Так, смотрите, Владимир, давайте, чтобы немножко познакомиться, 00:00:55.94 - Продавец: Хорошо. Так, Владимир, а с чем связан интерес к бухгалтерии?, 00:07:36.40 - Продавец: Хорошо, а вы себе какие-то цели по времени ставили?</t>
  </si>
  <si>
    <t>Продавец активно применял техники слушания: использовал подтверждающие фразы ('понятно', 'хорошо', 'абсолютно согласен'), реагировал на высказывания клиента уточнениями и комментариями, перефразировал ключевые мысли в резюме, поддерживал живой диалог и не уходил в монолог.</t>
  </si>
  <si>
    <t>00:01:03.93 - Продавец: Понятно, хорошо., 00:02:08.62 - Продавец: Понятно., 00:03:36.45 - Продавец: Абсолютно согласен, абсолютно, потому что здесь просто так впустую работать бесполезно., 00:08:09.06 - Продавец: Смотрите, я сейчас подрезюмирую, что услышал от вас.</t>
  </si>
  <si>
    <t>Продавец демонстрировал высокий уровень корректности: не перебивал клиента, не проявлял раздражения или агрессии, не использовал пассивно-агрессивные формулировки, сохранял спокойный профессиональный тон на протяжении всего разговора, терпеливо отвечал на вопросы.</t>
  </si>
  <si>
    <t>Продавец не допустил критических ошибок: не высказывался негативно о компании или курсе, не отговаривал клиента от покупки, не проявлял сомнения в продукте. Разговор прервался на этапе обмена контактами, но продавец готовился отправить программу и продолжить работу с клиентом.</t>
  </si>
  <si>
    <t>Продавец не допустил критических ошибок с точки зрения клиента: предоставлял корректную информацию о курсе (7 месяцев, онлайн формат, русский язык обучения), не вводил в заблуждение относительно документов или гарантий, проявлял уважение и профессионализм, отвечал на все вопросы клиента полно и честно.</t>
  </si>
  <si>
    <t>Критических нарушений с точки зрения закона не зафиксировано. Продавец не давал ложных гарантий трудоустройства, не разглашал внутреннюю информацию, не вводил в заблуждение относительно лицензий. Общался в рамках допустимого для B2C-продажи образовательных услуг в Германии.</t>
  </si>
  <si>
    <t>Диалог длился 835 секунд (от 00:00:19.00 до 00:14:14.47). Продавец говорил примерно 602 секунды, клиент — 233 секунды. У продавца — 23 реплики, у клиента — 19 реплик. Соотношение: 602 / 835 = 72%.</t>
  </si>
  <si>
    <t>1. Консультативные продажи 2.0: 7/10 - Продавец хорошо слушал клиента, выявил глубинные потребности, связал решение с задачами клиента. Не хватало больше вопросов об ограничениях.
2. Эмоциональный резонанс: 6/10 - Частично выявил эмоциональную мотивацию (усталость от монотонности), подстроился под клиента, но не использовал сторителлинг и не создал яркого образа будущего.
3. Продажи на основе потребностей: 8/10 - Отлично выявил и классифицировал потребности (смена профессии, рост дохода, профессиональное развитие), четко связал характеристики курса с приоритетами.
4. Продажи через истории: 5/10 - Не рассказывал релевантных историй успеха, хотя они могли бы усилить мотивацию клиента.
5. Модель 4P: 9/10 - Четко обозначил проблему (монотонная работа, низкий доход), пообещал результат (доход от 3000 евро, профессиональный рост), привел факты о рынке бухгалтеров.
Итого: 7 + 6 + 8 + 5 + 9 = 35</t>
  </si>
  <si>
    <t>А) Фактический скрипт продавца:
1. Краткое программирование разговора
2. Small talk и знакомство с клиентом
3. Выяснение текущей ситуации (Точка А)
4. Выяснение целей и желаемого результата (Точка Б)
5. Резюмирование услышанного
6. Презентация курса с привязкой к потребностям
7. Начало обмена контактами
Б) Особенности: Продавец пропустил полноценное приветствие, не создал FOMO-эффект, не дошел до этапа оплаты
В) Сработавшие элементы: Качественное выяснение потребностей вызвало активное участие клиента, резюмирование получило подтверждение, адаптированная презентация поддержала интерес
Г) Не сработавшие элементы: Разговор прервался до закрытия, не было создано чувство срочности
Разговор приблизил клиента к покупке: клиент проявил заинтересованность, задавал уточняющие вопросы, готов был получать дополнительную информацию.</t>
  </si>
  <si>
    <t>А) Что уже сработало:
- Конкретные цифры дохода и перспектив роста
- Сравнение с IT-сферой в пользу бухгалтерии
- Логичные аргументы о стабильности профессии
- Гибкость формата под его график работы
Б) Что могло бы сработать сильнее:
- Больше статистики о рынке и спросе
- Конкретные примеры карьерных траекторий
- Сравнительный анализ с другими вариантами переквалификации
- Детальный план обучения с временными рамками
В) Pain-killer line:
"Владимир, пока вы размышляете над вариантами, каждый месяц - это минус 1000 евро к вашему будущему доходу. За год раздумий вы теряете 12000 евро потенциального дохода."
Эта фраза сработает для рационального типа, так как переводит абстрактные размышления в конкретные финансовые потери. Лучше всего ее использовать после презентации.
Г) На следующем контакте:
- Предоставить детальную программу с модулями
- Показать статистику трудоустройства выпускников
- Не повторять общие мотивационные речи, сосредоточиться на фактах и цифрах</t>
  </si>
  <si>
    <t>А) Боли и интересы клиента vs УТП:
Клиент выразил потребность в гибком графике - мог быть лучше раскрыт УТП 'LMS-платформа + записи занятий'
Интерес к развитию и избежанию монотонности - не был использован УТП 'AI-инструменты и GPT Co-pilot'
Желание легкого и понятного обучения - упущен УТП 'персонализированная система мотивации'
Б) Упомянутые поверхностно УТП:
- Онлайн формат и записи (упомянуто, но не раскрыта ценность)
- Языковой курс (упомянут, но без деталей)
- Программы Datev (названы, но не объяснена практическая ценность)
В) УТП, которые стоило добавить:
'GPT Co-pilot': 'Владимир, учитывая ваше IT-любопытство, у нас есть интеграция с искусственным интеллектом, который помогает в обучении и будущих собеседованиях'
'Карьерный центр': 'Для человека с вашим опытом мы предоставляем персонального карьерного консультанта для составления резюме и подготовки к интервью'
'Сертификат AZAV': 'Вы получите официальный немецкий сертификат государственного образца, что важно для работодателей'
Г) Недостающие УТП:
Клиент не выразил специфических запросов, но для таких рациональных клиентов мог бы помочь УТП 'калькулятор ROI обучения' или 'гарантия возврата средств при непрохождении сертификации'</t>
  </si>
  <si>
    <t>Клиент проявил готовность к дальнейшему взаимодействию и получению информации. Разговор завершился позитивно на этапе обмена контактами для отправки программы курса. Клиент не выражал сомнений или отказов, наоборот, активно предоставлял свои контактные данные для продолжения коммуникации. Продавец правильно зафиксировал следующий шаг - отправку детальной программы.</t>
  </si>
  <si>
    <t>00:14:09.34 - Клиент: Да, да, да. Смотрите, у меня WhatsApp на другом номере немецком. Могу продиктовать вам или...</t>
  </si>
  <si>
    <t>А) Содержание звонка:
Обсуждались блоки: знакомство и small talk, выявление текущей ситуации клиента (Точка А), выяснение целей и ожиданий (Точка Б), резюмирование потребностей, презентация курса бухгалтерии с адаптацией под запросы клиента, обсуждение формата и технических деталей.
Б) Реакция клиента:
Клиент был заинтересован и активно участвовал в диалоге. Позитивно реагировал на презентацию курса, задавал уточняющие вопросы о формате обучения (график, записи занятий), выражал готовность к гибким решениям. Проявлял открытость и доверие к продавцу.
В) Достигнутые договоренности:
Был зафиксирован следующий шаг - отправка детальной программы курса на WhatsApp клиента. Клиент предоставил альтернативный контакт (немецкий номер) для получения материалов. Разговор завершился на позитивной ноте с четким планом дальнейшего взаимодействия.</t>
  </si>
  <si>
    <t>1. Фраза: Не было создано чувство срочности или FOMO-эффект
Контекст: После презентации курса продавец не использовал техники предзакрытия
Как следовало: 'Владимир, сейчас набирается последняя группа перед перерывом. Если не успеете, следующий старт только через 4 месяца - это минус 4 месяца до вашей цели заработка 3000+ евро'
Эффект: Создало бы мотивацию к быстрому принятию решения
2. Упущение: Не задал вопрос о готовности начать после презентации
Контекст: После положительных реакций клиента на презентацию
Как следовало: 'Что вам особенно откликнулось из того, что я рассказал? Готовы ли начать, если подойдет стоимость?'
Эффект: Помогло бы перевести интерес в конкретную готовность к действию
3. Фраза: Недостаточно использовал эмоциональные триггеры
Контекст: Клиент говорил об усталости от монотонной работы
Как следовало: 'Владимир, представьте - через 8 месяцев вы приходите на работу бухгалтером, каждый день новые задачи, уважение коллег, перспективы роста. Какие эмоции вы будете испытывать?'
Эффект: Создало бы эмоциональную привязку к результату</t>
  </si>
  <si>
    <t>1. Фраза: 'Тогда вам тут разобраться будет гораздо проще, чем в IT, так скажем. Вообще несравненно проще'
Контекст: После выяснения образования клиента по экономике предприятия
Почему сработало: Снизил тревожность клиента, показал преимущества его текущих знаний
Техника: Рефрейминг + позиционирование преимуществ
Тип: Массовая техника
2. Фраза: Качественное резюмирование перед презентацией
Контекст: 'Смотрите, я сейчас подрезюмирую, что услышал от вас...'
Почему сработало: Показал внимательность, получил подтверждение понимания, создал мостик к презентации
Техника: Активное слушание + структурирование
Тип: Массовая техника
3. Фраза: Гибкость в решении вопроса с графиком
Контекст: Предложил несколько вариантов решения проблемы с плавающим графиком
Почему сработало: Показал заботу о клиенте, снял возражение до его возникновения
Техника: Проактивная отработка потенциальных барьеров
Тип: Массовая техника</t>
  </si>
  <si>
    <t>А) Психологический и демографический портрет:
Владимир - рациональный тип личности, склонный к взвешенным решениям. Демонстрирует осторожность в выборе, но открыт к новой информации. Среднее уверенность в себе, проявляет инициативу в уточняющих вопросах. Имя: Владимир, есть немецкий номер WhatsApp.
Цитаты: 'Просто рассматриваю, если честно, не только бухгалтерию, смотрю много вариантов', 'То, что для меня будет легче и понятнее'
Б) Цели и приоритеты:
Основная цель - смена профессии с физического труда на интеллектуальный, рост дохода с 2-2.5 тыс до 3+ тысяч евро. Мотивация: избежать монотонности, профессиональное развитие, финансовое улучшение. Срок: около года. Страхи: сложность обучения, неопределенность результата.
Цитаты: 'Плюс сама работа одна и та же каждый день в течение года, полтора года начинает надоедать', 'Хотелось бы больше. Бы 3,5, от 3'
В) Дополнительные характеристики:
Для маркетинга: триггеры 'стабильность', 'перспективы роста', 'использование существующих знаний'. Канал: WhatsApp. Сильнее сработали бы УТП с конкретными цифрами ROI, примерами карьерного роста, гибкими форматами оплаты. Этот сегмент ценит рациональные аргументы больше эмоциональных призывов.</t>
  </si>
  <si>
    <t>Звонок был прерван до логического завершения. Разговор закончился резко во время обмена контактами, не было финального прощания или завершающих фраз. Диалог еще продолжался (продавец просил номер WhatsApp), но внезапно прервался.</t>
  </si>
  <si>
    <t>00:14:21.67 - Клиент: Сейчас, одну секунду., 00:14:23.79 - Продавец: Ну, давайте тогда в конце разговора все остальное обсудим и потом... Да, давайте..</t>
  </si>
  <si>
    <t>Звонок начинается с нового контакта. Продавец проводил знакомство, задавал базовые вопросы о ситуации клиента, его мотивации и опыте. Клиент впервые рассказывал о себе, не было отсылок к предыдущим разговорам.</t>
  </si>
  <si>
    <t>00:00:34.38 - Продавец: Так, смотрите, Владимир, давайте, чтобы немножко познакомиться, расскажите просто про себя, общий вводный, вообще чем занимаетесь, кем работаете и как давно вы в Германии?</t>
  </si>
  <si>
    <t>Клиент не упоминал субсидии, Jobcenter, Gutschein, Berater или необходимость получения предложения (Angebot) для подачи заявки. Обсуждение шло только в контексте самостоятельной оплаты курса. Тема государственного финансирования не поднималась.</t>
  </si>
  <si>
    <t>Клиент выражает готовность начать обучение в течение года, но проявляет открытость к более раннему старту. На вопрос о сроках ответил: 'За год, да, я рассматриваю примерно год. Можно, понятно, и раньше, если разобраться, вникнуть в это быстрее.' Это показывает среднюю-высокую готовность, но без критической срочности.</t>
  </si>
  <si>
    <t>00:07:47.18 - Клиент: За год, да, я рассматриваю примерно год. Можно, понятно, и раньше, если разобраться, вникнуть в это быстрее. Да, это год., 00:08:07.79 - Клиент: Да, прекрасно. Да, конечно.</t>
  </si>
  <si>
    <t>Клиент не обсуждал конкретные способы оплаты или рассрочки, но косвенно показал готовность инвестировать в образование для достижения финансовых целей. Понимает ценность обучения для увеличения дохода. Средняя оценка из-за отсутствия прямого обсуждения финансовых возможностей.</t>
  </si>
  <si>
    <t>00:04:02.59 - Клиент: Сейчас я получаю две - две с половиной тысячи. Для меня это мало. Хотелось бы больше. Бы 3,5, от 3, скажем так.</t>
  </si>
  <si>
    <t>Клиент четко понимает ценность обучения и мотивированно говорит о необходимости смены профессии. Выражает конкретные причины: усталость от монотонной работы, желание профессионального развития, потребность в росте дохода. Проявляет серьезный интерес к бухгалтерскому обучению.</t>
  </si>
  <si>
    <t>00:01:16.08 - Клиент: Просто рассматриваю, если честно, не только бухгалтерию, смотрю много вариантов, просто мне интересно не работать только на одном заводе, а развиваться, что делать., 00:07:36.40 - Клиент: Я об этом тоже слышал, и поэтому этот вариант рассматриваю, причем рассматриваю серьезно.</t>
  </si>
  <si>
    <t>Сумма оценок: 47 критерий (Срочность): 7 + 48 критерий (Платежеспособность): 6 + 49 критерий (Потребность): 8 = 21. Примеры реплик: клиент готов начать 'раньше, если разобраться быстрее', понимает необходимость роста дохода, серьезно рассматривает бухгалтерию для развития. Общий вывод: Средняя готовность с тенденцией к высокой.</t>
  </si>
  <si>
    <t>00:07:47.18 - Клиент: За год, да, я рассматриваю примерно год. Можно, понятно, и раньше, если разобраться, вникнуть в это быстрее., 00:07:36.40 - Клиент: Я об этом тоже слышал, и поэтому этот вариант рассматриваю, причем рассматриваю серьезно.</t>
  </si>
  <si>
    <t>172530707_1817000939_1eef61</t>
  </si>
  <si>
    <t>https://docs.google.com/document/d/1dTN8PU0_r4maZD-iwCnaauvwW5KZ8Nh3I6rTlcaQ_g0/edit?usp=drivesdk</t>
  </si>
  <si>
    <t>2025-07-06</t>
  </si>
  <si>
    <t>172530707_1817000939</t>
  </si>
  <si>
    <t>+4917644225534, Статус: Разговор состоялся</t>
  </si>
  <si>
    <t>11:24:41+02:00</t>
  </si>
  <si>
    <t>Alena Pivavarava</t>
  </si>
  <si>
    <t>2025-07-05T16:15:46+02:00</t>
  </si>
  <si>
    <t>Lead from: https://sternmeister.de/education?utm_source=facebook&amp;utm_medium=site_nikita&amp;utm_id=lp_short&amp;utm_campaign=nikita_mainfunnel_education_3%7Caid%7C120225806294430678&amp;utm_content=cid%7C120225802411820678%7Cgid%7C120225804224270678%7Cadsn%7Clal2_qua</t>
  </si>
  <si>
    <t>https://sternmeister.kommo.com/leads/detail/12655810</t>
  </si>
  <si>
    <t>Продавец соблюл все части приветствия: поприветствовал клиента по имени, представился, назвал компанию и получил подтверждение от клиента о заявке на обучение. Структура приветствия выполнена полностью согласно требованиям.</t>
  </si>
  <si>
    <t>00:00:06.73 - Продавец: Алёна, здравствуйте., 00:00:09.51 - Продавец: Меня Катерина зовут. Я представляю компанию «Штермейстер» по поводу курсов бухгалтерии., 00:00:15.98 - Продавец: Вы оставляли заявку.</t>
  </si>
  <si>
    <t>Продавец озвучил все четыре смысловых блока программирования: уточнил время разговора (25-30 минут), предложил структуру беседы с выяснением целей, рассказом о программе и помощью с зачислением при подходящих условиях. Программирование выполнено полностью.</t>
  </si>
  <si>
    <t>00:00:15.98 - Продавец: Подскажите, пожалуйста, консультация занимает по времени около 25-30 минут. Располагаете сейчас таким количеством времени?, 00:00:49.84 - Продавец: Ну, давайте тогда построим нашу беседу следующим образом. Я буквально тоже несколько вопросов задам, чтобы понимать вообще ваши цели, ваши мотивации, подходим ли мы друг к другу. И дальше я вам расскажу про программу, как она проходит, про все варианты оплат. И если все подойдет, тогда помогу с зачислением.</t>
  </si>
  <si>
    <t>Продавец задал общие вопросы для установления контакта, выяснил чем клиент занимается сейчас, кем работал раньше, сколько в Германии. Клиент рассказал о своей текущей работе менеджером по экспорту, образовании и времени пребывания в Германии (около 5 лет).</t>
  </si>
  <si>
    <t>00:01:06.90 - Продавец: Давайте тогда познакомимся. Для начала расскажите немножко о себе вообще, как давно в Германии, чем занимались, почему интересуетесь курсами., 00:01:56.59 - Клиент: В Германии я уже около пяти лет. Ну, вот я работаю сейчас в немецкой компании., 00:02:10.42 - Клиент: Я работаю менеджером по экспорту.</t>
  </si>
  <si>
    <t>Продавец получил ответы на все 4 элемента фрейма Точки А: опыт клиента (лингвист-переводчик, менеджер по экспорту), текущая ситуация и что не устраивает (необходимость сидеть в офисе 9-10 часов, коллектив), попытки изменить ситуацию (поиск работы с начала года), идеальное решение (удаленная работа, гибкий график, возможность регулировать доход).</t>
  </si>
  <si>
    <t>00:02:20.62 - Клиент: У меня образование языковое культурологическое. Я вообще лингвист-переводчик и культуролог., 00:03:53.11 - Клиент: Нет, не очень давно, наверное, в начале года, потому что я с начала года ищу работу, 00:05:16.55 - Клиент: там все очень консервативно с домашним офисом, как бы сидеть в офисе по 9-10 часов каждый день – это вот то, что у меня сейчас пункт номер один, который меня не устраивает в работе., 00:05:23.85 - Клиент: Коллектив.</t>
  </si>
  <si>
    <t>Продавец не задал вопросы на уточнение влияния текущей ситуации клиента на его жизнь или отношения с семьей. Не было вопросов о том, как текущая ситуация сказывается на жизни клиента или готов ли он ждать еще, если ничего не изменится.</t>
  </si>
  <si>
    <t>Продавец получил информацию по всем элементам SMART-структуры: конкретная цель (смена профессии на бухгалтера), измеримый результат (возможность регулировать доход, не иметь потолка), значимость (больше контроля над временем и доходом, минимальный контакт с людьми), срок достижения (готовность начать с осени).</t>
  </si>
  <si>
    <t>00:06:58.11 - Клиент: Я хочу зарабатывать столько, сколько я могу регулировать., 00:08:15.19 - Клиент: И то, что я могу строить свой график, опять же, самостоятельно. Брать меньшую нагрузку, большую нагрузку и какие-то проекты, которые мне нравятся или не нравятся., 00:09:58.59 - Клиент: Поэтому, наверное, если все устроится, то я бы готова вот с осени, с сентября там или когда будет следующий год.</t>
  </si>
  <si>
    <t>Клиент дал достаточно конкретные ответы по всем пунктам SMART-структуры, поэтому необходимости в дополнительном уточнении не возникло.</t>
  </si>
  <si>
    <t>Продавец рассказал о преимуществах профессии бухгалтера, применив несколько необходимых фраз: о годовом доходе начинающих бухгалтеров (47 тысяч евро) и через 3 года (69 тысяч), о социальном пакете (оплачиваемые больничные, премии, отпускные, защита от сокращения), о возможности удаленной работы.</t>
  </si>
  <si>
    <t>00:10:32.58 - Продавец: годовой доход начинающих бухгалтеров составляет в среднем от 47 тысяч евро в год, это там 300-350 в месяц. Естественно, дальше уже больше. Через три года, допустим, на позиции финансового директора, доход от 69 тысяч евро в год., 00:11:42.57 - Продавец: Что касается квалификации, квалификация бухгалтера даст вам возможность найти работу, вы можете удаленно работать, как вы хотите, все преимущества, поддержки от государства, оплачиваемые больничные, премии, отпускные, уверенность в том, что вас не сократят</t>
  </si>
  <si>
    <t>Продавец подробно резюмировал ключевые моменты: текущую ситуацию клиента (работа менеджером по экспорту, желание работать удаленно), цели (регулирование графика и дохода, работа с цифрами), образование, уровень немецкого и готовность к обучению. Получил подтверждение правильности понимания от клиента.</t>
  </si>
  <si>
    <t>00:09:15.19 - Продавец: Давайте тогда резюмируем, правильно ли я объяснила все, что вы сказали, так скажем. То есть вы сейчас работаете менеджером по экспорту. Работа, потому что хочется, во-первых, работать с людьми поменьше контактировать хочется. В принципе, нравится профессия бухгалтера, потому что вам в принципе нравится работать с цифрами, так скажем, чтобы вы были внимательны и так далее.</t>
  </si>
  <si>
    <t>Продавец адаптировал презентацию под запросы клиента, делая отсылки к ранее озвученным потребностям: упомянул возможность удаленной работы, гибкий график, отсутствие потолка доходов, важность практики. Использовал формулировки типа 'как вы хотели бы', 'как вы и хотели бы'.</t>
  </si>
  <si>
    <t>00:11:42.57 - Продавец: вы можете удаленно работать, как вы хотите, 00:11:55.57 - Продавец: То есть можно здесь расти, развиваться, потолка в доходе здесь нет, как вы и хотели бы., 00:15:59.62 - Продавец: Вы сами об этом тоже сказали в начале, что вам важно, чтобы было много практики.</t>
  </si>
  <si>
    <t>Презентация проходила в диалоге с вовлечением клиента. Продавец задавал вопросы по ходу рассказа, уточнял реакцию клиента, получал обратную связь. Клиент активно участвовал, задавал уточняющие вопросы о программах, формате обучения.</t>
  </si>
  <si>
    <t>00:12:42.57 - Продавец: Для вас важна такая поддержка в этих вопросах в плане именно трудоустройства?, 00:13:03.45 - Продавец: Вы вообще слышали раньше об этих программах?, 00:16:16.91 - Продавец: Как вам идея заниматься с носителями языка?, 00:17:04.41 - Продавец: Вы вообще пользуетесь искусственным интеллектом или нет?</t>
  </si>
  <si>
    <t>Продавец не задал прямой вопрос о том, что из презентации было наиболее важным или интересным для клиента после завершения презентации. Также не спросил о готовности начать сегодня, если подойдет стоимость. Клиент проявлял интерес по ходу презентации, но формального вопроса о готовности не прозвучало.</t>
  </si>
  <si>
    <t>Продавец создал FOMO-эффект, сообщив клиенту об акции и ограниченности предложения: упомянул, что стоимость следующего потока будет на 20% дороже, что у них сейчас набирается группа и нужно успеть зайти на выгодных условиях. Это создавало ощущение упущенной выгоды при отказе.</t>
  </si>
  <si>
    <t>00:29:26.03 - Продавец: У нас сейчас набирается группа, дата старта была 3 числа, был ознакомительный урок только, где все познакомились. Сейчас запустили акцию — вы можете зайти на выгодных условиях., 00:33:45.22 - Продавец: Следующий тоже на 20% дороже, акция будет 3300 евро, на 800 евро больше — 20%.</t>
  </si>
  <si>
    <t>Клиент озвучил несколько возражений: 1) 'подумаю' - в середине разговора сказала, что нужно подумать и посчитать бюджет (00:29:56.33), 2) 'не сейчас' - выразила, что не готова начать в ближайший поток из-за других обязательств (00:09:35.17), 3) 'сравнивает с конкурентами' - упомянула, что смотрела несколько школ и сравнивает их (00:26:13.49). Все возражения прозвучали в спокойном, размышляющем тоне.</t>
  </si>
  <si>
    <t>00:09:35.17 - Клиент: Ну, если ближайший поток в июле, то нет, потому что у меня в июле уже есть языковое обучение, 00:26:13.49 - Клиент: У меня еще один вопрос по темам, потому что таких школ несколько. Я смотрела ваши, еще две по-моему., 00:29:56.33 - Клиент: Так, сразу не могу сказать, нужно посчитать бюджет., 00:35:22.94 - Клиент: Я не люблю спешить, выше заплачу, но нужно подумать, переспать, посчитать.</t>
  </si>
  <si>
    <t>Продавец отработал менее 3 возражений из 3 озвученных клиентом и нарушил структуру отработки. При возражении 'не сейчас' продавец пытался переубеждать о гибкости графика, но не получил согласия. При возражении 'подумаю' не применил технику 'искренность', не уточнил истинные причины сомнений. При упоминании конкурентов не отработал это как возражение. Структура 'Присоединение → Уточнение → Аргумент → Призыв к действию' не соблюдалась.</t>
  </si>
  <si>
    <t>00:10:26.32 - Продавец: Да, да., 00:10:27.55 - Продавец: Вот, то есть это только в плюс бы вам пошло., 00:32:29.38 - Продавец: Единственный момент, над которым хотите подумать или информации недостаточно?</t>
  </si>
  <si>
    <t>Продавец не применил технику 'искренность' при отработке ложных возражений. Когда клиент сказала 'подумаю' и 'нужно посчитать бюджет', продавец не задал уточняющий вопрос типа 'что именно смущает' или 'что бы позволило принять решение сейчас'. Вместо этого он быстро перешел к обсуждению следующих шагов без выяснения истинных причин сомнений. Персонализированный призыв к действию в конце отработки возражения также отсутствовал.</t>
  </si>
  <si>
    <t>00:32:29.38 - Продавец: Единственный момент, над которым хотите подумать или информации недостаточно?, 00:35:22.94 - Клиент: Я не люблю спешить, выше заплачу, но нужно подумать, переспать, посчитать.</t>
  </si>
  <si>
    <t>А) Продавец отрабатывал возражения поверхностно: при 'не сейчас' предложил гибкость без получения согласия, при 'подумаю' не выяснил истинные причины, при упоминании конкурентов не использовал это как возможность для дифференциации. Основные ошибки: отсутствие присоединения, слабое уточнение, преждевременные аргументы. Б) По методике SPIN не использовались проблемные и извлекающие вопросы для выявления скрытых потребностей. По Challenger не бросил вызов предположениям клиента о необходимости сравнения. По NEAT не исследовал экономические драйверы решения. В) Примеры фраз: SPIN - 'А что произойдет, если вы отложите решение еще на полгода?' (для возражения 'подумаю'); Challenger - 'Многие думают, что нужно сравнивать все школы, но успешные люди понимают - важнее скорость внедрения' (для сравнения конкурентов); NEAT - 'Если посчитать стоимость потерянного времени, отсрочка может стоить дороже самого курса' (экономическое обоснование). Эти подходы помогли бы укрепить доверие, выявить настоящие причины сомнений и продвинуть к принятию решения через логику и эмоции.</t>
  </si>
  <si>
    <t>А) Клиент задавал вопросы о: длительности обучения и графике (00:00:29.68), возможности паузы в обучении (00:18:27.48), количестве направлений обучения (00:26:13.49), стоимости (00:24:27.27), возможности пройти раньше срока (00:23:11.23). Б) Большинство вопросов получили полные ответы: о формате обучения, гибкости графика, программе. Однако вопросы о количестве выпускников и трудоустройстве (00:33:45.22) получили уклончивый ответ 'мы недавно на рынке, есть отзывы' без конкретики. В) Неотвеченные конкретно: количество трудоустроенных студентов. Лучший ответ: 'Мы запустились недавно, но уже есть успешные кейсы. Например, Анна из первого потока нашла работу через 2 недели после завершения курса в компании X. Могу поделиться ее контактами для общения.' Неполные ответы снизили доверие клиента и усилили желание 'подумать'.</t>
  </si>
  <si>
    <t>00:33:52.44 - Продавец: Сейчас два потока обучаются, набираем третий. Уже есть отзывы. Мы недавно на рынке</t>
  </si>
  <si>
    <t>Продавец соблюдал алгоритм презентации цены: 1) озвучил ценность курса перед названием цены (программы, материалы, сопровождение), 2) рекомендовал оплату от большего к меньшему (сначала 3500 евро полностью со скидкой 400 евро, затем рассрочка 3500 на 5 месяцев, далее 3900 на 7 месяцев, и 3900 на 10 месяцев), 3) аргументировал выбор экономией при полной оплате.</t>
  </si>
  <si>
    <t>00:26:34.27 - Продавец: Сейчас договорю, что входит. Материалы сохраняются в личном кабинете навсегда, 00:29:26.03 - Продавец: Обучение обычно стоит 7800 евро, сейчас по акции 3900. Если сразу оплатить полную сумму, дадим еще скидку 400 евро — итог 3500 евро., 00:29:56.33 - Продавец: Самый выгодный — минимальный срок, там тоже скидка 400 евро, сумму 3500 можно разбить на 5 платежей по 800 евро.</t>
  </si>
  <si>
    <t>Продавец задал вопросы о том, какой вариант оплаты подходит клиенту, уточнил предпочтения. Когда клиент сказала, что нужно поэтапно, продавец предложил варианты рассрочки. Выслушал ответ клиента о необходимости посчитать бюджет и предложил альтернативы с разными сроками платежей.</t>
  </si>
  <si>
    <t>00:29:26.03 - Продавец: У нас два варианта оплаты — вся сумма сразу или поэтапно. Какой удобнее?, 00:30:58.26 - Продавец: Вариантов какой ближе?, 00:32:06.37 - Клиент: В любом случае — отсрочка. Нужно посчитать, какая именно.</t>
  </si>
  <si>
    <t>Клиент не выразил согласия оплачивать и не дошел до обсуждения конкретных способов оплаты (тип карты, переводы и т.д.).</t>
  </si>
  <si>
    <t>Продавец не сделал прямого предложения оплатить и начать обучение. Когда клиент выразила сомнения и сказала о необходимости подумать, продавец не вернулся к прояснению ситуации, не узнал конкретные причины остановки и не предложил внести предоплату. Вместо этого быстро перешел к обсуждению следующих шагов без попытки закрытия сделки.</t>
  </si>
  <si>
    <t>Продавец закрепил конкретные договоренности о следующих шагах: назначил следующий звонок на среду около часа дня, договорился отправить материалы и демо-доступ. Четко зафиксировал дату и время следующего контакта.</t>
  </si>
  <si>
    <t>00:36:29.65 - Продавец: Подскажите, предварительно согласуем день и время, чтобы связаться, 00:36:44.16 - Клиент: Если удобно, в среду около часа дня. Хорошо, договорились., 00:36:50.10 - Продавец: Сейчас отправлю информацию, вы мне в ответ пришлёте почту, продублирую.</t>
  </si>
  <si>
    <t>Продавец не применил сторителлинг и не рассказал успешные истории клиентов курсов Sternmeister в качестве примера и мотивации.</t>
  </si>
  <si>
    <t>Продавец обращался к клиенту по имени несколько раз, использовал вежливые слова ('пожалуйста', 'спасибо', 'извините'), общался уважительно и доброжелательно. Подстраивал тональность под клиента, поддерживал теплый и профессиональный стиль общения на протяжении всего разговора.</t>
  </si>
  <si>
    <t>00:00:06.73 - Продавец: Алёна, здравствуйте., 00:00:15.98 - Продавец: Подскажите, пожалуйста, 00:01:06.90 - Продавец: Давайте тогда познакомимся., 00:36:58.91 - Продавец: Спасибо большое. Очень приятно было познакомиться, Алена.</t>
  </si>
  <si>
    <t>Продавец демонстрировал активное слушание, используя фразы 'поняла', 'супер', 'отлично', реагировал на высказывания клиента комментариями и уточнениями. Перефразировал важные мысли клиента в резюмировании, поддерживал диалог в живом темпе.</t>
  </si>
  <si>
    <t>00:02:44.26 - Продавец: Так, поняла, поняла., 00:03:53.11 - Продавец: Поняла., 00:05:39.30 - Продавец: Да, супер, отлично, отлично, это очень хорошо., 00:09:15.19 - Продавец: Давайте тогда резюмируем, правильно ли я объяснила все, что вы сказали</t>
  </si>
  <si>
    <t>Продавец не перебивал клиента, не проявлял раздражения или агрессии, сохранял спокойный профессиональный тон до конца разговора. Не использовал фразы типа 'я уже объяснял' или других негативных формулировок.</t>
  </si>
  <si>
    <t>Продавец не допустил критических ошибок: не высказывался негативно о компании, не отговаривал клиента, закрепил следующий шаг с конкретикой - дата (среда), время (около часа дня) и способ связи (звонок).</t>
  </si>
  <si>
    <t>00:36:44.16 - Клиент: Если удобно, в среду около часа дня. Хорошо, договорились.</t>
  </si>
  <si>
    <t>Продавец дал искаженную информацию о лицензии AZAV, утверждая, что компания уже получает эту лицензию и она будет на момент окончания обучения, что противоречит официальным данным о том, что лицензия еще в процессе получения. Также при вопросе о количестве выпускников дал неполный ответ 'уже есть отзывы' без конкретики.</t>
  </si>
  <si>
    <t>00:33:52.44 - Продавец: Сейчас два потока обучаются, набираем третий. Уже есть отзывы. Мы недавно на рынке, занимаемся только бухгалтерией.</t>
  </si>
  <si>
    <t>Критических нарушений с точки зрения закона не зафиксировано. Продавец не давал ложных гарантий трудоустройства, не разглашал внутреннюю информацию и не выходил за рамки допустимого в B2C-продаже образовательных услуг.</t>
  </si>
  <si>
    <t>Диалог длился 2276 секунд (с 00:00:04.55 до 00:37:59.48). Продавец говорил 1734 секунды, Клиент — 542 секунды. У Продавца — множество длинных реплик с презентацией, у Клиента — более короткие ответы и вопросы. Соотношение: 1734 / 2276 = 76%.</t>
  </si>
  <si>
    <t>1. Консультативные продажи 2.0: 7/10 - Продавец выстроил доверие, выявил потребности, но слишком много говорил сам. Для 10/10 нужно было больше слушать и задавать исследовательские вопросы. 2. Эмоциональный резонанс: 6/10 - Определил мотивацию (свобода, контроль), но не углубился в эмоции. Для 10/10 нужны были истории успеха и вопросы о чувствах. 3. Потребности (NBS): 8/10 - Четко выявил и классифицировал потребности, связал с продуктом. Для 10/10 нужно было лучше приоритизировать запросы. 4. Story-Based: 4/10 - Не использовал истории клиентов. Для 10/10 нужны были кейсы успешных выпускников в похожей ситуации. 5. 4P модель: 8/10 - Четко определил проблему, дал обещание и доказательства, сделал предложение. Для 10/10 нужен был более убедительный призыв к действию. Итого: 7 + 6 + 8 + 4 + 8 = 33</t>
  </si>
  <si>
    <t>А) Фактический скрипт: 1) Приветствие и программирование (выяснение времени, структура беседы) 2) Small talk и знакомство 3) Выяснение Точки А (текущая ситуация, проблемы) 4) Выяснение Точки В (цели, желания) 5) Резюмирование 6) Презентация курса с диалогом 7) Обсуждение стоимости 8) Отработка возражений поверхностно 9) Назначение следующего шага. Б) Особенности: пропустил сторителлинг, не создал достаточного FOMO, слабо отработал возражения. В) Сработало: детальная презентация, резюмирование, гибкость по срокам. Г) Не сработало: отсутствие историй успеха, слабая отработка 'подумаю', преждевременное согласие на отсрочку решения. Разговор не привел к покупке - клиент остался в сомнении и отложил решение.</t>
  </si>
  <si>
    <t>А) Сработало: детальная информация о программе, гибкость графика, конкретные цифры доходов, возможность паузы в обучении. Б) Могло сработать сильнее: истории успеха людей в похожей ситуации, конкретные примеры выпускников, калькулятор упущенной выгоды при отсрочке. В) Pain-killer line: 'Алена, пока вы думаете и сравниваете, другие уже начали и через 7 месяцев будут зарабатывать 47 тысяч в год. Каждый месяц отсрочки - это минус 4000 евро к вашему будущему доходу.' Сказать в момент обсуждения отсрочки. Г) На следующем контакте: предоставить калькулятор ROI, связать с выпускником для общения, не давить на сроки, предложить мини-демо урок.</t>
  </si>
  <si>
    <t>А) Клиент выразила потребность в практическом обучении, удаленной работе, гибком графике. Могли сработать: конкретные кейсы 70% практики, истории трудоустройства, детали AI-инструментов. Б) Поверхностно раскрыты: карьерный центр (не детализированы услуги), портфолио из 6 проектов, персонализация под тип памяти. В) Стоило добавить: 'У нас выпускница Анна за 3 недели нашла удаленную работу именно благодаря портфолио', 'AI-помощник ускоряет выполнение заданий в 2 раза', 'Персональный трекинг показывает ваш прогресс каждый день'. Г) Недостающий УТП: 'гарантия возврата при неудаче' или 'бесплатное повторение курса' - клиент боится потратить деньги зря, этот УТП снизил бы риски.</t>
  </si>
  <si>
    <t>А) Разговор завершился отсрочкой решения - клиент сказала 'нужно подумать, переспать, посчитать' и не готова платить сегодня. Б) Клиент сказала дословно: 'Я не люблю спешить, выше заплачу, но нужно подумать, переспать, посчитать'. В) Продавец не уточнил конкретные сомнения по оплате, не создал срочность, слишком легко согласился на отсрочку. Не хватило: выяснения истинных причин сомнений, расчета упущенной выгоды, предложения частичной предоплаты для 'бронирования места'. Г) Тактика: 'Понимаю желание все взвесить. Подскажите, если бы все вопросы по оплате были решены - что еще могло бы вас остановить?' - помогло бы выявить настоящие возражения.</t>
  </si>
  <si>
    <t>00:35:22.94 - Клиент: Я не люблю спешить, выше заплачу, но нужно подумать, переспать, посчитать.</t>
  </si>
  <si>
    <t>А) Содержание: Полноценная консультация с выяснением ситуации клиента (менеджер по экспорту, хочет сменить профессию), целей (удаленная работа, гибкий график), презентацией курса и обсуждением стоимости. Затронуты все основные блоки продающего разговора. Б) Реакция клиента: заинтересованная и вовлеченная на этапе выяснения потребностей и презентации, задавала уточняющие вопросы о формате и программах. Стала осторожной при обсуждении стоимости и сроков начала. В) Договоренности: назначен следующий звонок на среду в час дня, продавец отправит материалы и демо-доступ. Клиент изучит информацию и даст ответ на следующем созвоне.</t>
  </si>
  <si>
    <t>А) Безымянные конкуренты - клиент сказала 'таких школ несколько, я смотрела ваши, еще две'. Б) Причина: сравнение по направлениям обучения (один профиль или несколько). В) Можно было обыграть: 'Хорошо, что сравниваете! Многие школы дают поверхностные знания по 3 направлениям, мы фокусируемся на одном, но даем экспертный уровень'. Г) Фраза: 'Алена, как говорится - лучше быть экспертом в одном деле, чем посредственным в трех. Наши выпускники находят работу именно потому, что работодатели видят глубину знаний'. Д) Усилила бы доверие к качеству и специализации компании.</t>
  </si>
  <si>
    <t>00:26:13.49 - Клиент: У меня еще один вопрос по темам, потому что таких школ несколько. Я смотрела ваши, еще две по-моему.</t>
  </si>
  <si>
    <t>1. Фраза: 'нужно подумать' - Контекст: клиент выразила сомнения в оплате - Как следовало: 'Понимаю. Подскажите, что именно вызывает сомнения - стоимость, программа или что-то еще?' - Эффект: выявило бы истинные возражения для работы с ними. 2. Упущение: не использовал сторителлинг - Контекст: при презентации и работе с сомнениями - Как следовало: рассказать историю Гульнары или Виктории - Эффект: эмоциональное вовлечение и снижение страхов. 3. Фраза: согласие на отсрочку без дополнительных вопросов - Контекст: 'Я не люблю спешить' - Как следовало: 'Скажите, если бы все условия были идеальными, что помогло бы принять решение сегодня?' - Эффект: возможность найти компромисс или выявить скрытые потребности.</t>
  </si>
  <si>
    <t>1. Структурированное резюмирование - Фраза: 'Давайте тогда резюмируем, правильно ли я объяснила...' - Контекст: перед презентацией, клиент подтвердила правильность понимания - Почему сработало: создало ощущение понимания и персонализации - Техника: консультативные продажи, массовая техника. 2. Гибкость в работе с возражениями - Фраза: предложение разных вариантов рассрочки - Контекст: клиент сказала о необходимости поэтапной оплаты - Почему сработало: показало готовность подстраиваться под клиента - Техника: адаптивные продажи, массовая техника. 3. Детальная презентация с вовлечением - Фраза: постоянные вопросы 'вам это подходит?', 'слышали ли вы?' - Контекст: на протяжении всей презентации - Почему сработало: поддерживало интерес и вовлеченность клиента - Техника: диалоговые продажи, массовая техника.</t>
  </si>
  <si>
    <t>А) Психологический портрет: Алена, рациональный тип, тщательно взвешивает решения, не любит спешить. Уверенная в себе, инициативная ('Я люблю учиться'), проявляет осторожность в финансовых вопросах. Контактные данные: номер 536 привязан к WhatsApp. Б) Цели и приоритеты: смена профессии с менеджера по экспорту на бухгалтера, удаленная работа, гибкий график, контроль над доходом. Боли: необходимость сидеть в офисе 9-10 часов, неподходящий коллектив. Мотивация: 'достаточно хорошо выполняю работу с документами, цифрами', хочет быть экспертом и влиять на доход. В) Для маркетинга: триггеры 'эксперт в деятельности', 'самостоятельно строить график', 'регулировать доход'. Канал: поиск в интернете, сравнение школ. УТП: реальная практика, гибкость обучения. Сегмент: работающие профессионалы 30+, готовые инвестировать в смену карьеры, но требующие время на принятие решений.</t>
  </si>
  <si>
    <t>00:35:22.94 - Клиент: Я не люблю спешить, 00:07:45.04 - Клиент: я люблю как-то досконально разбираться в том, что я делаю</t>
  </si>
  <si>
    <t>Разговор завершился логично с взаимным прощанием. Участники попрощались, назначили следующий контакт, не было технических сбоев или резких обрывов.</t>
  </si>
  <si>
    <t>00:37:56.10 - Клиент: Спасибо большое. Очень приятно было познакомиться, Алена., 00:37:59.48 - Продавец: Вам хорошего., 00:38:00.53 - Клиент: Вам также спасибо.</t>
  </si>
  <si>
    <t>Звонок начинается с полноценного приветствия, представления и выяснения базовых вопросов. Продавец представился, назвал компанию, уточнил готовность к разговору. Нет признаков продолжения предыдущего диалога.</t>
  </si>
  <si>
    <t>00:00:06.73 - Продавец: Алёна, здравствуйте., 00:00:09.51 - Продавец: Меня Катерина зовут. Я представляю компанию «Штермейстер» по поводу курсов бухгалтерии.</t>
  </si>
  <si>
    <t>Клиент не упоминал желание проходить обучение через государственную субсидию. Не было упоминаний Gutschein, Jobcenter, Berater или необходимости предложения (Angebot) для подачи заявки. Обсуждалась только самостоятельная оплата и рассрочка.</t>
  </si>
  <si>
    <t>Клиент выразила готовность начать обучение, но не в ближайшие 2 недели. Сказала: 'если все устроится, то я бы готова вот с осени, с сентября' из-за других обязательств в июле-августе. Готовность есть, но отсрочена на несколько месяцев. Положительное отношение к обучению, но четкие временные ограничения.</t>
  </si>
  <si>
    <t>00:09:58.59 - Клиент: Поэтому, наверное, если все устроится, то я бы готова вот с осени, с сентября там или когда будет следующий год., 00:09:35.17 - Клиент: Ну, если ближайший поток в июле, то нет, потому что у меня в июле уже есть языковое обучение</t>
  </si>
  <si>
    <t>Клиент обсуждала возможность поэтапной оплаты, но не выразила полной уверенности. Сказала 'нужно посчитать бюджет', 'сразу всю сумму точно не могу оплатить', но рассматривает рассрочку. Не упоминала Jobcenter, но и не демонстрировала полную готовность платить. Средний уровень платежеспособности с осторожностью.</t>
  </si>
  <si>
    <t>00:29:26.03 - Клиент: Поэтапно, сразу всю сумму точно не могу оплатить., 00:29:56.33 - Клиент: Так, сразу не могу сказать, нужно посчитать бюджет.</t>
  </si>
  <si>
    <t>Клиент четко понимает ценность обучения и мотивирована учиться. Выразила конкретные цели: смена профессии, удаленная работа, возможность регулировать доход. Сказала 'я люблю учиться', понимает важность практического применения знаний. Высокий уровень потребности с четким пониманием зачем ей это нужно.</t>
  </si>
  <si>
    <t>00:06:24.65 - Клиент: Я люблю учиться, 00:06:39.20 - Клиент: мне важно в обучении, чтобы ты его закончил, и понятно, что там с нуля не будешь каким-то крутым экспертом, но чтобы ты мог начать с этим что-то делать вообще в принципе</t>
  </si>
  <si>
    <t>Сумма оценок: 3 (срочность) + 6 (платежеспособность) + 8 (потребность) = 17. Клиент демонстрирует среднюю готовность. Высокая потребность в обучении, средняя платежеспособность с необходимостью планирования бюджета, низкая срочность из-за временных ограничений. Перспективный клиент для работы в долгосрочной перспективе, но требует дополнительного прогрева.</t>
  </si>
  <si>
    <t>00:09:58.59 - Клиент: если все устроится, то я бы готова вот с осени, 00:29:56.33 - Клиент: нужно посчитать бюджет, 00:06:24.65 - Клиент: Я люблю учиться</t>
  </si>
  <si>
    <t>149575113_1817749811_8dc5dd</t>
  </si>
  <si>
    <t>https://docs.google.com/document/d/1waxTr8k0zF6RvlQ-LAhybui9fxPhvzfik_p-lANMIJI/edit?usp=drivesdk</t>
  </si>
  <si>
    <t>149575113_1817749811</t>
  </si>
  <si>
    <t>+4915155431652, Статус: Разговор состоялся</t>
  </si>
  <si>
    <t>09:27:48+02:00</t>
  </si>
  <si>
    <t>Elena</t>
  </si>
  <si>
    <t>2025-07-07T19:18:02+02:00</t>
  </si>
  <si>
    <t>Lead from: https://sternmeister.de/education?utm_source=facebook&amp;utm_medium=site_nikita&amp;utm_id=lp_short&amp;utm_campaign=nikita_mainfunnel_education_3%7Caid%7C120225803865570678&amp;utm_content=cid%7C120225802411820678%7Cgid%7C120225803865530678%7Cadsn%7Clal2_qua</t>
  </si>
  <si>
    <t>https://sternmeister.kommo.com/leads/detail/12701738</t>
  </si>
  <si>
    <t>Продавец полностью соблюдает структуру приветствия. Он поздоровался, представился, назвал компанию и получил подтверждение от клиента о заявке на обучение бухгалтерии.</t>
  </si>
  <si>
    <t>00:00:01.75 - Продавец: Здравствуйте, это Антон, я супермайстер по поводу бухгалтерии. Вы что бы интересовались, верно?, 00:00:06.04 - Клиент: Да.</t>
  </si>
  <si>
    <t>Продавец четко структурировал план разговора, включив все четыре необходимых блока: уточнил время (20-30 минут), объяснил что будет познакомление и обсуждение целей, рассказ про учебу и условия, и завершение с возможным зачислением.</t>
  </si>
  <si>
    <t>00:00:09.18 - Продавец: Хорошо. Вам сейчас удобно побеседовать минут примерно на 20-30?, 00:00:14.71 - Продавец: Отлично. Тогда давайте так поступим. Сейчас с вами немножко познакомимся, обсудим ваши цели, задачи, что хотите получить. Я расскажу про учебу, про все наши условия, про форматы. Если друг другу подойдем, помогу зачислиться и в ближайшее время уже сможете приступить. Договорились?</t>
  </si>
  <si>
    <t>Вопрос о стоимости в начале разговора не прозвучал.</t>
  </si>
  <si>
    <t>Продавец успешно установил контакт, попросив клиента рассказать о себе. Клиент рассказала подробно о своей ситуации: три года в Германии, работа кассиром, образование в Украине, опыт работы на таможне и в налоговой.</t>
  </si>
  <si>
    <t>00:00:36.87 - Продавец: Тогда давайте немножко познакомимся, расскажите вкратце про себя, чем занимаетесь, как давно живете в Германии. Такую вводную информацию небольшую., 00:00:48.33 - Клиент: В Германии я уже три года. Уже больше года работаю на Тальцайте, кассиром. В Украине закончила университет, два диплома, работала на таможне, работала в налоговой и представителем на таможне и во всех госструктурах.</t>
  </si>
  <si>
    <t>Продавец получил полную картину Точки А: опыт клиента (образование, работа в налоговой и на таможне), текущая ситуация (работа кассиром, доход 1200 евро, отсутствие развития), что не устраивает (стагнация, низкий доход, отсутствие перспектив), идеальное решение (стабильная профессия, финансовая независимость, профессиональное развитие).</t>
  </si>
  <si>
    <t>00:04:03.00 - Клиент: Ну, просто у меня сальсайт. Я работаю в Реве кассиром, 00:05:56.28 - Продавец: Никакого развития, да?, 00:05:57.82 - Клиент: Да., 00:06:51.32 - Клиент: Мне хочется рассчитывать на себя, да., 00:07:38.97 - Продавец: Ну да, я по голосу это слышу. Это большой плюс.</t>
  </si>
  <si>
    <t>Продавец не задал уточняющих вопросов о влиянии текущей ситуации клиента на её жизнь или отношения с семьей. Он не выяснил в деталях, как именно отсутствие развития и низкий доход сказываются на жизни клиента.</t>
  </si>
  <si>
    <t>Продавец получил информацию по всем элементам SMART-структуры: конкретная цель (стабильная профессия бухгалтера), измеримый результат (от 3000 евро в месяц), значимость (финансовая независимость, профессиональное развитие, помощь дочери), сроки (к концу зимы, началу весны - 7 месяцев обучения + 1 месяц трудоустройства).</t>
  </si>
  <si>
    <t>00:08:18.23 - Продавец: то в месяц, это от 3 тысяч евро численно будет. Соответственно в 2,5 раза больше, чем у вас сейчас., 00:08:48.69 - Клиент: Все сначала, все с нуля., 00:09:08.70 - Продавец: Тогда смотрите, а какие цели вы себе ставили по времени?, 00:13:05.31 - Клиент: Да, конечно.</t>
  </si>
  <si>
    <t>Продавец корректно уточнил цели клиента. Когда клиент дала расплывчатый ответ о планке дохода, продавец помог конкретизировать, озвучив среднюю зарплату бухгалтера (47 тысяч евро в год, 3 тысячи в месяц) и получил подтверждение, что это поможет закрыть её задачи.</t>
  </si>
  <si>
    <t>00:07:49.22 - Продавец: Ну вот так я вам скажу, то что начинающий бухгалтер с небольшим опытом зарабатывает в среднем по стране 47 тысяч евро в год. Но это бруто до вычета налогов, но тем не менее. То есть в месяц, это от 3 тысяч евро численно будет., 00:08:18.23 - Продавец: Вот такой уровень дохода он поможет закрыть ваши задачи с правами, стоматологом?</t>
  </si>
  <si>
    <t>Продавец рассказал о преимуществах профессии бухгалтера: среднем доходе (47 тысяч евро в год), стабильности профессии, уважении со стороны общества, карьерных перспективах (главный бухгалтер, финансовый директор, налоговый консультант). Он обрисовал картину лучшего будущего и показал социальную значимость профессии.</t>
  </si>
  <si>
    <t>00:12:33.04 - Продавец: В этом плане бухгалтерия – это прекрасный способ, потому что в Германии это считается одной из самых стабильных, уважаемых профессий, и она системообразующая. Что бы ни происходило, какие бы кризисы не случались, бухгалтеры всегда при деле, всегда есть работа, и работы очень много.</t>
  </si>
  <si>
    <t>Продавец четко резюмировал ключевые моменты перед презентацией: текущую ситуацию клиента (работа кассиром, отсутствие развития, финансовые трудности), цели (стабильная профессия, уверенность в завтрашнем дне) и получил подтверждение правильности понимания.</t>
  </si>
  <si>
    <t>00:14:50.46 - Продавец: Перед этим подрезюмирую, что вы мне про себя рассказали. Если что, поправляйте. Вы сказали, что живете в Германии больше трёх лет, сначала войны. Образование у вас два, работали в налоговой и таможне... Хочется стабильной, хорошей, надежной профессии, чтобы чувствовать уверенность в завтрашнем дне, спокойно трудиться и жить, не переживая в Германии. Правильно?, 00:14:50.46 - Клиент: Ну, как бы да.</t>
  </si>
  <si>
    <t>Продавец адаптировал презентацию под цели и запросы клиента. Он связал программу с её опытом в налоговой сфере, подчеркнул возможность работать честным путем, затронул вопросы графика работы с учетом её текущей занятости, и показал как курс поможет достичь её целей.</t>
  </si>
  <si>
    <t>00:15:54.37 - Продавец: У нас полностью преподавание на русском языке, чтобы не пропускать содержание. Но даем необходимую немецкую терминологию, это важно., 00:17:50.47 - Клиент: Да., 00:20:21.33 - Продавец: Программа сильно практикоориентированная, чтобы не просто теоретик, а умели работать руками.</t>
  </si>
  <si>
    <t>Презентация прошла в диалоге. Продавец регулярно задавал уточняющие вопросы, проверял понимание и комфорт клиента. Он спрашивал 'Такой формат вам удобен?', 'По языку такой формат подходит?', 'Пока понятно?', активно вовлекая клиента в разговор.</t>
  </si>
  <si>
    <t>00:17:50.47 - Продавец: Такой формат вам удобен?, 00:18:59.15 - Продавец: По языку такой формат подходит?, 00:20:19.50 - Продавец: Пока понятно?, 00:20:20.21 - Клиент: Да.</t>
  </si>
  <si>
    <t>Продавец задал прямой вопрос о готовности клиента: 'То есть если по стоимости подходит, готовы идти учиться, правильно?' и получил положительный ответ. Клиент проявляла интерес на протяжении презентации, отвечая положительно на вопросы о формате.</t>
  </si>
  <si>
    <t>00:22:47.05 - Клиент: Всё понравилось., 00:22:49.75 - Продавец: То есть если по стоимости подходит, готовы идти учиться, правильно?, 00:22:54.56 - Клиент: Ну да.</t>
  </si>
  <si>
    <t>Продавец создал сильный FOMO-эффект, объяснив клиенту что последний поток запустился на прошлой неделе, осталось только одно место, и следующий поток будет только через 3 месяца. Он подчеркнул потерю времени (4 месяца до цели) и финансовые потери (10-12 тысяч евро, которые не заработает).</t>
  </si>
  <si>
    <t>00:24:00.56 - Продавец: Последний поток запустился на прошлой неделе. В июле активно набирали, начали в начале июля. Было много желающих, планировали две группы, в итоге сделали третью с дополнительными преподавателями. Осталось одно вакансное место., 00:28:18.44 - Продавец: Следующий поток планируется осенью, сентябрь-октябрь, неизвестно пока. Минус 4 месяца, то есть позже на новую работу. Это 10-12 тысяч евро, которые не заработаете.</t>
  </si>
  <si>
    <t>Клиент озвучила возражение 'посоветуюсь' в середине разговора (около 37 минуты), когда сказала что хочет поговорить с мужчиной о бюджете и обучении. Прозвучало это уверенно, но с пониманием необходимости согласования. Также в конце звонка она сказала 'подумаю' относительно следующих шагов, но это было скорее формальностью, так как она уже была готова на 90%.</t>
  </si>
  <si>
    <t>00:37:04.74 - Клиент: Хочу поговорить с мужчиной, рассказать. Уже говорила, нашла ваше объявление, сказала, что на уровне кассира оставаться не хочу., 00:38:19.53 - Клиент: Ой да, 90%.</t>
  </si>
  <si>
    <t>Продавец корректно отработал 2 основных возражения по структуре. На возражение 'посоветуюсь': присоединился ('понимаю'), уточнил суть сомнений (бюджетные вопросы), дал аргумент (инвестиция в будущее, возврат вложений), сделал призыв к действию (не откладывать). На временное сомнение также применил аргументацию и призыв к действию.</t>
  </si>
  <si>
    <t>00:37:34.38 - Продавец: Понял. По бюджету хотите поговорить или еще?, 00:38:02.03 - Продавец: Всё вернется. Хорошо, так и сделаем., 00:29:35.47 - Продавец: Но рекомендую не откладывать, а договориться с мужчиной, чтобы помог, занять, ужаться. Это инвестиция в будущее и хорошую жизнь для вас и дочери.</t>
  </si>
  <si>
    <t>Продавец корректно отработал ложное возражение 'посоветуюсь'. Он не ушёл от темы, задал уточняющий вопрос ('По бюджету хотите поговорить или еще?'), выявил настоящую причину (финансовые вопросы), дал аргументацию и сделал персонализированный призыв к действию, связанный с её целями улучшения жизни для себя и дочери.</t>
  </si>
  <si>
    <t>00:37:34.38 - Продавец: Понял. По бюджету хотите поговорить или еще?, 00:29:35.47 - Продавец: Но рекомендую не откладывать, а договориться с мужчиной, чтобы помог, занять, ужаться. Это инвестиция в будущее и хорошую жизнь для вас и дочери.</t>
  </si>
  <si>
    <t>А) Продавец отрабатывал возражения достаточно корректно: на 'посоветуюсь' применил присоединение, уточнение и аргументацию. Однако мог бы усилить эмоциональную составляющую и создать больше срочности.
Б) С точки зрения методик SPIN и Challenger:
- SPIN: Продавец мог задать больше Implication Questions о последствиях откладывания решения
- Challenger: мог бы больше бросить вызов текущему мышлению клиента о необходимости согласования
В) Примеры фраз:
- SPIN (Implication): 'Если вы будете ещё 4 месяца работать кассиром, как это скажется на вашем настроении и мотивации?'
- Challenger: 'Понимаю желание посоветоваться, но скажите, кто лучше вас знает, что нужно для вашей карьеры - вы или ваш партнёр?'
Эти подходы могли бы усилить личную ответственность клиента за решение и создать больше срочности.</t>
  </si>
  <si>
    <t>00:37:04.74 - Клиент: Хочу поговорить с мужчиной, рассказать., 00:29:35.47 - Продавец: Но рекомендую не откладывать</t>
  </si>
  <si>
    <t>А) Основные вопросы клиента:
- О цене (20:21): 'А по цене как там, я смогу потянуть?'
- О преподавателях (17:54): 'А преподаватели русскоговорящие или уроки на немецком?'
- О выгодности предложения (25:30): 'А как для вашей фирмы это выгодно, что с такими скидками в половину?'
- О следующих потоках (27:44): 'По поводу групп. Можно ли в следующий поток поступить?'
Б) Продавец дал понятные и полные ответы на все вопросы. Особенно хорошо объяснил языковую составляющую и обосновал скидку логикой заполнения последнего места в группе.
В) Все вопросы получили адекватные ответы, неотвеченных вопросов не было. Продавец демонстрировал открытость и готовность объяснить любые детали, что укрепляло доверие.</t>
  </si>
  <si>
    <t>00:20:21.33 - Клиент: А по цене как там, я смогу потянуть?, 00:17:54.37 - Клиент: А преподаватели русскоговорящие или уроки на немецком?</t>
  </si>
  <si>
    <t>Продавец не соблюдал полную структуру алгоритма презентации цены. Он не озвучил ценность курса перед называнием цены, сразу назвал стандартную стоимость 1800 евро, затем предложил скидку до 3900 евро, что логически противоречиво. Не применил принцип 'от большего к меньшему', сразу предложив рассрочку на 7 месяцев по 558 евро без предварительного предложения полной оплаты.</t>
  </si>
  <si>
    <t>00:23:00.56 - Продавец: Это 1800 евро. Стандартная цена, которую обычно все студенты платят. Но сейчас у нас особые условия, и цена сильно отличается... То есть 3900 евро – это всё, больше ничего., 00:24:23.02 - Продавец: Можно оплатить единоразово со скидкой или помесячно, например на 7 месяцев по 558 евро.</t>
  </si>
  <si>
    <t>Продавец задал вопрос о подходящности варианта оплаты: 'Как думаете, для вас это подъемно?' и получил ответ. Когда клиент выразил сомнение, он предложил альтернативу с большей рассрочкой на 10 месяцев по 390 евро, уточнив возможность у руководителя.</t>
  </si>
  <si>
    <t>00:24:23.02 - Продавец: Как думаете, для вас это подъемно?, 00:24:46.95 - Продавец: Я сейчас пишу руководителю, потому что в некоторых случаях одобряют рассрочку на больший срок – например, на 10 месяцев по 390 евро.</t>
  </si>
  <si>
    <t>Продавец объяснил способы оплаты: через реквизиты в WhatsApp, через приложение, с необходимостью прислать скриншот или чек для подтверждения. Он детально объяснил процесс оплаты и необходимые документы.</t>
  </si>
  <si>
    <t>00:27:01.15 - Продавец: Я сейчас в WhatsApp напишу, что нужно от вас: данные, email, фамилия и имя латиницей, адрес регистрации для инвойса. Пришлю реквизиты, по которым можно оплатить через приложение. Прошу скриншот или чек, чтобы подтвердить оплату.</t>
  </si>
  <si>
    <t>Продавец не сделал прямого финального предложения оплатить. Когда клиент выразила желание поговорить с партнёром, он не вернулся к прояснению ситуации через вопрос типа 'что именно останавливает' и не предложил внести предоплату после того, как клиент не была готова полностью оплачивать сразу.</t>
  </si>
  <si>
    <t>00:37:04.74 - Клиент: Хочу поговорить с мужчиной, рассказать., 00:38:02.03 - Продавец: Всё вернется. Хорошо, так и сделаем.</t>
  </si>
  <si>
    <t>Продавец закрепил четкие договоренности о следующих шагах: пообещал прислать программу и данные в WhatsApp, договорился что клиент вечером поговорит с партнёром, и назначил звонок на следующее утро для продолжения разговора.</t>
  </si>
  <si>
    <t>00:38:59.20 - Продавец: Тогда я всё пришлю, вы вечером поговорите, WhatsApp есть, если не дождетесь звонка, напишите, оплату переведем, я вас отправлю к куратору. Если нет, завтра утром перезвоню, договорились?, 00:39:57.16 - Продавец: Понимаю, пообщайтесь хорошо, завтра утром свяжемся, обсудим. Договорились?</t>
  </si>
  <si>
    <t>Продавец не применил сторителлинг и не рассказал историю-пример успешного клиента курсов Sternmeister для мотивации клиента.</t>
  </si>
  <si>
    <t>Продавец обращался к клиенту по имени (Елена) минимум 3 раза, использовал вежливые слова ('спасибо', 'пожалуйста', 'желаю'), общался доброжелательно и с теплотой, подстраивал тональность под позитивный настрой клиента. Поддерживал уважительный стиль общения на протяжении всего разговора.</t>
  </si>
  <si>
    <t>00:39:57.16 - Продавец: Понимаю, пообщайтесь хорошо, завтра утром свяжемся, обсудим. Договорились?, 00:40:08.08 - Продавец: Все, тогда Елена, спасибо за диалог, откровенность, уверен, у вас все получится, устроитесь и потом напишите, скажете спасибо. Желаю хорошего дня, до завтра.</t>
  </si>
  <si>
    <t>Продавец активно слушал, используя фразы 'угу', 'понял', 'да', регулярно комментировал и уточнял информацию. Он перефразировал ключевые моменты клиента, например, резюмировал её ситуацию перед презентацией. Поддерживал живой диалог, не уходил в монолог.</t>
  </si>
  <si>
    <t>00:01:37.86 - Продавец: Угу, хорошо, спасибо за рассказ, содержательный, 00:05:56.28 - Продавец: Никакого развития, да?, 00:14:50.46 - Продавец: Перед этим подрезюмирую, что вы мне про себя рассказали.</t>
  </si>
  <si>
    <t>Продавец не перебивал клиента, не проявлял раздражения или агрессии, не использовал пассивно-агрессивные фразы. Сохранял спокойный, профессиональный тон до конца разговора, даже когда клиент выражала сомнения.</t>
  </si>
  <si>
    <t>00:40:08.08 - Продавец: Все, тогда Елена, спасибо за диалог, откровенность, уверен, у вас все получится, устроитесь и потом напишете, скажете спасибо. Желаю хорошего дня, до завтра.</t>
  </si>
  <si>
    <t>Продавец не допустил критических ошибок: не высказывался негативно о компании или курсе, не отговаривал клиента от покупки, не 'слил' клиента без следующего шага. Наоборот, он зафиксировал конкретные договоренности о звонке на следующий день и отправке материалов.</t>
  </si>
  <si>
    <t>Продавец допустил ошибку в презентации цены: сначала назвал стоимость 1800 евро как стандартную, а затем сказал, что итоговая цена 3900 евро. Это создаёт путаницу и может восприниматься как введение в заблуждение. Логически непонятно, как скидка может увеличивать цену с 1800 до 3900 евро.</t>
  </si>
  <si>
    <t>00:23:00.56 - Продавец: Это 1800 евро. Стандартная цена, которую обычно все студенты платят. Но сейчас у нас особые условия, и цена сильно отличается... То есть 3900 евро – это всё, больше ничего.</t>
  </si>
  <si>
    <t>Продавец не допустил критических нарушений с точки зрения закона: не разглашал внутреннюю информацию, не давал неправомерных гарантий трудоустройства, корректно говорил о сертификатах (упомянул вайтербилдинг и AZAV без ложных утверждений о наличии лицензии).</t>
  </si>
  <si>
    <t>Диалог длился 2395 секунд (с 00:00:01 до 00:40:29). Продавец говорил примерно 1748 секунд, клиент — 647 секунд. У продавца — 47 реплик, у клиента — 45 реплик. Соотношение: 1748 / 2395 = 73%.</t>
  </si>
  <si>
    <t>00:00:01.75 - Продавец: Здравствуйте, это Антон, 00:40:29.00 - Продавец: До свидания.</t>
  </si>
  <si>
    <t>1. Консультативные продажи 2.0: 8/10 - Продавец слушал больше на этапе выявления потребностей, задавал вопросы о целях клиента, но мог больше адаптировать решение под личные приоритеты.
2. Эмоциональный резонанс: 7/10 - Выявил эмоциональную мотивацию (желание развития, самореализации), но не использовал сторителлинг и мог усилить эмоциональную составляющую.
3. Продажи на основе потребностей: 8/10 - Четко выявил потребности (стабильность, рост дохода, развитие), классифицировал запрос и связал с характеристиками продукта.
4. Story-Based Selling: 4/10 - Не рассказывал историй успеха других клиентов, упустил возможность создать образ успешного будущего.
5. Модель 4P: 10/10 - Идеально определил проблему (застой в карьере), дал обещание результата (3000 евро/месяц), привел доказательства (средние зарплаты), сделал конкретное предложение.
Итого: 8 + 7 + 8 + 4 + 10 = 37</t>
  </si>
  <si>
    <t>00:06:51.32 - Клиент: Мне хочется рассчитывать на себя, да., 00:08:18.23 - Продавец: То есть в месяц, это от 3 тысяч евро численно будет.</t>
  </si>
  <si>
    <t>А) Фактический скрипт продавца: 1) Приветствие и подтверждение заявки 2) Программирование разговора (время, структура) 3) Small talk и знакомство 4) Выявление Точки А (текущая ситуация, боли) 5) Выявление Точки Б (цели, желаемый доход) 6) Резюмирование 7) Презентация курса с вовлечением 8) Обсуждение стоимости и FOMO 9) Попытка закрытия 10) Отработка возражений 11) Фиксация следующих шагов
Б) Особенности: Продавец активно использовал диалоговый формат, хорошо структурировал разговор, но допустил ошибку в презентации цены.
В) Сработавшие элементы: четкое программирование, активное слушание, эффект FOMO, корректная отработка возражений
Г) Несработавшие элементы: путаница с ценой, отсутствие сторителлинга, не довёл до оплаты
Разговор приблизил клиента к покупке - она выразила готовность на 90%.</t>
  </si>
  <si>
    <t>00:38:19.53 - Клиент: Ой да, 90%.</t>
  </si>
  <si>
    <t>А) Что сработало: четкая структура разговора, конкретные цифры зарплат, логическое обоснование инвестиций, подробная программа курса.
Б) Что могло сработать сильнее: истории успеха других учеников, больше эмоциональной составляющей о самореализации, акцент на быстроте получения результата.
В) Pain-killer line: 'Елена, вы же говорили, что устали стоять весь день головой вниз без развития. Через 8 месяцев вы будете сидеть в офисе, решать интересные задачи и получать в 2.5 раза больше. Что мешает начать уже сегодня?' Эта фраза сработает потому что создает контраст между текущими страданиями и желаемым будущим.
Г) На следующем контакте: напомнить о FOMO (последнее место), подчеркнуть потерю времени при откладывании, использовать аргумент про инвестицию в будущее дочери.</t>
  </si>
  <si>
    <t>00:38:19.53 - Клиент: Ой да, 90%., 00:05:56.28 - Клиент: просто ты стоишь голова день вниз</t>
  </si>
  <si>
    <t>А) Клиент выражала боли отсутствия развития и низкого дохода. УТП, которые могли сработать: GPT Co-pilot (помощь в обучении), карьерный центр и тренировка интервью, персонализированная система мотивации.
Б) УТП были упомянуты поверхностно: трудоустройство, практическая направженность, но не раскрыты детально.
В) Стоило добавить: 'У нас есть GPT-помощник, который поможет вам с домашними заданиями и подготовкой к собеседованиям - вы никогда не останетесь одни с вопросами', 'Карьерный центр проведёт с вами минимум 5 тренировочных интервью, чтобы вы чувствовали себя уверенно'.
Г) Не хватает УТП: 'Гарантированная поддержка в первые месяцы работы' - клиент боялась не справиться, это УТП могло бы снять страх.</t>
  </si>
  <si>
    <t>00:20:21.33 - Продавец: Программа сильно практикоориентированная, 00:21:57.14 - Продавец: Помогаем с трудоустройством</t>
  </si>
  <si>
    <t>А) Разговор завершился позитивно, клиент была готова на 90% и договорилась обсудить с партнёром бюджетные вопросы.
Б) Клиент сказала: 'Хочу поговорить с мужчиной, рассказать... просто надо сказать, что иду учиться, деньги выделяю сама' и выразила готовность на 90%.
В) Почему клиент согласилась: продавец показал понимание её ситуации, дал четкий план развития карьеры, создал FOMO-эффект и предложил комфортную рассрочку.
Г) Что сделал продавец правильно: не давил, дал время на обдумывание, зафиксировал следующий шаг, проявил понимание необходимости обсуждения в семье.</t>
  </si>
  <si>
    <t>00:38:19.53 - Клиент: Ой да, 90%., 00:39:57.16 - Продавец: Понимаю, пообщайтесь хорошо, завтра утром свяжемся, обсудим. Договорились?</t>
  </si>
  <si>
    <t>А) Содержание звонка: Полноценный консультативный звонок включал все этапы - знакомство, выявление потребностей (Точка А и Б), презентацию курса, обсуждение стоимости и отработку возражений. Обсуждались мотивация клиента (желание карьерного роста), текущие сложности (работа кассиром, низкий доход), цели (стабильная профессия бухгалтера), презентация программы обучения и условий оплаты.
Б) Реакция клиента: На протяжении всего звонка клиент проявляла заинтересованность, активно участвовала в диалоге, положительно реагировала на презентацию курса и УТП. Выражала готовность к обучению, но хотела обсудить бюджетные вопросы с партнёром.
В) Достигнутые договоренности: Клиент выразила готовность на 90%, договорились о звонке на следующий день после обсуждения с партнёром. Продавец обещал прислать программу и реквизиты в WhatsApp.</t>
  </si>
  <si>
    <t>00:38:19.53 - Клиент: Ой да, 90%., 00:39:57.16 - Продавец: завтра утром перезвоню, договорились?</t>
  </si>
  <si>
    <t>1. Ошибка в презентации цены: Сначала называет 1800 евро, потом 3900 евро как скидку. Контекст: при обсуждении стоимости клиент запуталась. Как следовало: 'Стандартная стоимость 4300 евро, но у нас скидка 400 евро - итого 3900'. Эффект: избежать путаницы и недоверия.
2. Отсутствие сторителлинга: Не рассказал ни одной истории успеха. Контекст: при презентации преимуществ. Как следовало: 'Расскажу про Гульнару из Украины, которая тоже работала на простой работе, а сейчас бухгалтер с доходом 3500 евро'. Эффект: создать эмоциональную связь и веру в результат.
3. Поверхностная отработка возражения 'посоветуюсь': Принял быстро без глубокого копания. Как следовало: 'А что именно вы планируете обсудить? В чём он вам поможет с принятием решения о вашей карьере?' Эффект: вывести на истинные сомнения.</t>
  </si>
  <si>
    <t>00:23:00.56 - Продавец: Это 1800 евро... То есть 3900 евро, 00:37:04.74 - Клиент: Хочу поговорить с мужчиной</t>
  </si>
  <si>
    <t>1. Четкое программирование разговора: 'Сейчас с вами немножко познакомимся, обсудим ваши цели, задачи... Если друг другу подойдем, помогу зачислиться'. Контекст: в начале звонка клиент согласилась на структуру. Почему сработало: создало предсказуемость и снизило сопротивление. Техника: структурирование ожиданий. Тип: массовая техника.
2. Эффективное резюмирование: подвёл итог всей ситуации клиента перед презентацией. Контекст: получил подтверждение 'как бы да'. Почему сработало: показал внимательность и создал мостик к решению. Техника: активное слушание + структурирование. Тип: массовая техника.
3. Сильный FOMO-эффект: 'Последний поток запустился... осталось одно место... следующий через 3 месяца - это потеря 10-12 тысяч евро'. Контекст: клиент стала более серьёзно относиться к срокам. Почему сработало: создал реальную срочность с конкретными потерями. Техника: дефицит + конкретизация потерь. Тип: массовая техника.</t>
  </si>
  <si>
    <t>00:14.71 - Продавец: Отлично. Тогда давайте так поступим, 00:28:18.44 - Продавец: Минус 4 месяца, то есть позже на новую работу. Это 10-12 тысяч евро, которые не заработаете</t>
  </si>
  <si>
    <t>А) Психологический портрет: Елена - активная, позитивная женщина ('я очень позитивный человек, я люблю спорт, люблю развитие'), не боится начинать с нуля ('я не боюсь с нуля начинать'), но нуждается в поддержке близких при принятии решений. Проявляет инициативу и желание роста, но осторожна в финансовых вопросах. Уверенно говорит о своих потребностях.
Б) Цели и приоритеты: Хочет профессионального развития и самореализации ('хочется самой для себя быть выше, чем я есть сейчас'), стремится к финансовой стабильности для помощи дочери и решения бытовых вопросов (права, стоматология). Мотивирована желанием использовать свой опыт и образование.
В) Для маркетинга: Сегмент образованных украинских женщин 40+, работающих на низкоквалифицированных позициях. Триггеры: 'самореализация', 'использование опыта', 'помощь детям'. Эффективны каналы: Instagram, сарафанное радио через знакомых.</t>
  </si>
  <si>
    <t>00:07:38.97 - Клиент: Я очень позитивный человек, я люблю спорт, люблю развитие, 00:08:48.69 - Клиент: хочется самой для себя быть, чего-то достигать</t>
  </si>
  <si>
    <t>Разговор был полноценным и завершился логично с взаимными пожеланиями и договоренностями о следующем звонке.</t>
  </si>
  <si>
    <t>00:40:08.08 - Продавец: Все, тогда Елена, спасибо за диалог, откровенность, уверен, у вас все получится, 00:40:29.00 - Продавец: До свидания.</t>
  </si>
  <si>
    <t>Звонок начинается с полного приветствия, представления и выяснения, по какому поводу клиент интересовался бухгалтерией. Продавец проводит полное знакомство и выявление потребностей с самого начала.</t>
  </si>
  <si>
    <t>00:00:01.75 - Продавец: Здравствуйте, это Антон, я супермайстер по поводу бухгалтерии. Вы что бы интересовались, верно?</t>
  </si>
  <si>
    <t>Клиент не упоминал Gutschein, Jobcenter, Berater или необходимость получить предложение (Angebot) для подачи заявки на государственное финансирование. Обсуждение шло только про самостоятельную оплату и рассрочку от компании.</t>
  </si>
  <si>
    <t>Клиент демонстрирует высокую готовность начать обучение в ближайшее время. Она говорит 'Не люблю ждать, откладывать, это не мое. Ждать — катастрофа' и выражает готовность на 90%. Согласилась на сроки курса (7 месяцев) и готова обсудить начало сегодня.</t>
  </si>
  <si>
    <t>00:38:23.43 - Клиент: Не люблю ждать, откладывать, это не мое. Ждать — катастрофа., 00:38:19.53 - Клиент: Ой да, 90%., 00:13:05.31 - Клиент: Да, конечно. (на вопрос о сроках 7 месяцев)</t>
  </si>
  <si>
    <t>Клиент готова оплачивать через рассрочку, но не полностью уверена в бюджете. Она говорит 'нормально, безвозвратно, 600 евро плюс-минус' про ежемесячную оплату, но хочет обсудить с партнёром финансовые вопросы. Рассматривает только личную оплату, не упоминает господдержку.</t>
  </si>
  <si>
    <t>00:24:27.87 - Клиент: Да, нормально, безотвратно, 600 евро плюс-минус., 00:38:02.03 - Клиент: просто надо сказать, что иду учиться, деньги выделяю сама., 00:37:38.93 - Клиент: Да, просто надо сказать, что иду учиться, эти деньги – вложение в обучение.</t>
  </si>
  <si>
    <t>Клиент очень четко понимает ценность обучения и мотивированно говорит о необходимости развития. Она выражает сильное желание профессионального роста: 'хочется самой для себя быть выше', 'не могу сидеть на месте', и понимает что бухгалтерия поможет использовать её опыт.</t>
  </si>
  <si>
    <t>00:08:48.69 - Клиент: хочется самой для себя быть, чего-то достигать, учиться, идти дальше, не сидеть просто., 00:07:38.97 - Клиент: Мне хочется обучаться и как бы я всегда живчик-позитивчик. Сидеть на месте как-то..., 00:22:47.05 - Клиент: Всё понравилось.</t>
  </si>
  <si>
    <t>Сумма оценок: Срочность (8) + Платежеспособность (7) + Потребность (9) = 24. Примеры ключевых реплик: 'Не люблю ждать, откладывать', 'деньги выделяю сама', 'хочется самой для себя быть выше'. Общий вывод: Высокая готовность. Клиент демонстрирует сильную мотивацию к обучению, понимание ценности, готовность к оплате через рассрочку и желание начать в ближайшее время.</t>
  </si>
  <si>
    <t>00:38:23.43 - Клиент: Не люблю ждать, откладывать, это не мое., 00:38:02.03 - Клиент: деньги выделяю сама., 00:08:48.69 - Клиент: хочется самой для себя быть выше</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</si>
</sst>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color theme="1"/>
      <name val="Roboto"/>
    </font>
    <font>
      <color theme="1"/>
      <name val="Arial"/>
    </font>
    <font/>
    <font>
      <color rgb="FFFFFFFF"/>
      <name val="Roboto"/>
    </font>
    <font>
      <u/>
      <color rgb="FF1155CC"/>
      <name val="Roboto"/>
    </font>
    <font>
      <i/>
      <color theme="1"/>
      <name val="Roboto"/>
    </font>
  </fonts>
  <fills count="33">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B7B7B7"/>
        <bgColor rgb="FFB7B7B7"/>
      </patternFill>
    </fill>
    <fill>
      <patternFill patternType="solid">
        <fgColor rgb="FFFDD13C"/>
        <bgColor rgb="FFFDD13C"/>
      </patternFill>
    </fill>
    <fill>
      <patternFill patternType="solid">
        <fgColor rgb="FF8245AC"/>
        <bgColor rgb="FF8245AC"/>
      </patternFill>
    </fill>
    <fill>
      <patternFill patternType="solid">
        <fgColor rgb="FF4AA74C"/>
        <bgColor rgb="FF4AA74C"/>
      </patternFill>
    </fill>
    <fill>
      <patternFill patternType="solid">
        <fgColor rgb="FF121BD5"/>
        <bgColor rgb="FF121BD5"/>
      </patternFill>
    </fill>
    <fill>
      <patternFill patternType="solid">
        <fgColor rgb="FFCDC526"/>
        <bgColor rgb="FFCDC526"/>
      </patternFill>
    </fill>
    <fill>
      <patternFill patternType="solid">
        <fgColor rgb="FFEC6555"/>
        <bgColor rgb="FFEC6555"/>
      </patternFill>
    </fill>
    <fill>
      <patternFill patternType="solid">
        <fgColor rgb="FF204CBB"/>
        <bgColor rgb="FF204CBB"/>
      </patternFill>
    </fill>
    <fill>
      <patternFill patternType="solid">
        <fgColor rgb="FFCDF6B4"/>
        <bgColor rgb="FFCDF6B4"/>
      </patternFill>
    </fill>
    <fill>
      <patternFill patternType="solid">
        <fgColor rgb="FF94D39A"/>
        <bgColor rgb="FF94D39A"/>
      </patternFill>
    </fill>
    <fill>
      <patternFill patternType="solid">
        <fgColor rgb="FF76E0A1"/>
        <bgColor rgb="FF76E0A1"/>
      </patternFill>
    </fill>
    <fill>
      <patternFill patternType="solid">
        <fgColor rgb="FFD47477"/>
        <bgColor rgb="FFD47477"/>
      </patternFill>
    </fill>
    <fill>
      <patternFill patternType="solid">
        <fgColor rgb="FFAE3F2D"/>
        <bgColor rgb="FFAE3F2D"/>
      </patternFill>
    </fill>
    <fill>
      <patternFill patternType="solid">
        <fgColor rgb="FF00FF00"/>
        <bgColor rgb="FF00FF00"/>
      </patternFill>
    </fill>
    <fill>
      <patternFill patternType="solid">
        <fgColor rgb="FFFF0000"/>
        <bgColor rgb="FFFF0000"/>
      </patternFill>
    </fill>
    <fill>
      <patternFill patternType="solid">
        <fgColor rgb="FFEA2660"/>
        <bgColor rgb="FFEA2660"/>
      </patternFill>
    </fill>
    <fill>
      <patternFill patternType="solid">
        <fgColor rgb="FF79AF29"/>
        <bgColor rgb="FF79AF29"/>
      </patternFill>
    </fill>
    <fill>
      <patternFill patternType="solid">
        <fgColor rgb="FFDCE5F6"/>
        <bgColor rgb="FFDCE5F6"/>
      </patternFill>
    </fill>
    <fill>
      <patternFill patternType="solid">
        <fgColor rgb="FF42C9EF"/>
        <bgColor rgb="FF42C9EF"/>
      </patternFill>
    </fill>
    <fill>
      <patternFill patternType="solid">
        <fgColor rgb="FF22299E"/>
        <bgColor rgb="FF22299E"/>
      </patternFill>
    </fill>
    <fill>
      <patternFill patternType="solid">
        <fgColor rgb="FFCB1288"/>
        <bgColor rgb="FFCB1288"/>
      </patternFill>
    </fill>
    <fill>
      <patternFill patternType="solid">
        <fgColor rgb="FFA40941"/>
        <bgColor rgb="FFA40941"/>
      </patternFill>
    </fill>
    <fill>
      <patternFill patternType="solid">
        <fgColor rgb="FFF3D99E"/>
        <bgColor rgb="FFF3D99E"/>
      </patternFill>
    </fill>
    <fill>
      <patternFill patternType="solid">
        <fgColor rgb="FF86B314"/>
        <bgColor rgb="FF86B314"/>
      </patternFill>
    </fill>
    <fill>
      <patternFill patternType="solid">
        <fgColor rgb="FF21CCF9"/>
        <bgColor rgb="FF21CCF9"/>
      </patternFill>
    </fill>
    <fill>
      <patternFill patternType="solid">
        <fgColor rgb="FF572F7E"/>
        <bgColor rgb="FF572F7E"/>
      </patternFill>
    </fill>
    <fill>
      <patternFill patternType="solid">
        <fgColor rgb="FFE5D9D4"/>
        <bgColor rgb="FFE5D9D4"/>
      </patternFill>
    </fill>
    <fill>
      <patternFill patternType="solid">
        <fgColor rgb="FF00FFFF"/>
        <bgColor rgb="FF00FFFF"/>
      </patternFill>
    </fill>
    <fill>
      <patternFill patternType="solid">
        <fgColor rgb="FFD657B4"/>
        <bgColor rgb="FFD657B4"/>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xf>
    <xf borderId="1" fillId="2" fontId="1" numFmtId="0" xfId="0" applyAlignment="1" applyBorder="1" applyFont="1">
      <alignment shrinkToFit="0" wrapText="1"/>
    </xf>
    <xf borderId="1" fillId="2" fontId="1" numFmtId="0" xfId="0" applyAlignment="1" applyBorder="1" applyFont="1">
      <alignment shrinkToFit="0" vertical="bottom" wrapText="1"/>
    </xf>
    <xf borderId="1" fillId="2" fontId="2" numFmtId="0" xfId="0" applyBorder="1" applyFont="1"/>
    <xf borderId="0" fillId="2" fontId="2" numFmtId="0" xfId="0" applyAlignment="1" applyFont="1">
      <alignment vertical="bottom"/>
    </xf>
    <xf borderId="2" fillId="2" fontId="1" numFmtId="0" xfId="0" applyAlignment="1" applyBorder="1" applyFont="1">
      <alignment horizontal="center" shrinkToFit="0" wrapText="1"/>
    </xf>
    <xf borderId="1" fillId="3" fontId="2" numFmtId="0" xfId="0" applyAlignment="1" applyBorder="1" applyFill="1" applyFont="1">
      <alignment shrinkToFit="0" vertical="bottom" wrapText="1"/>
    </xf>
    <xf borderId="0" fillId="2" fontId="2" numFmtId="0" xfId="0" applyFont="1"/>
    <xf borderId="1" fillId="2" fontId="2" numFmtId="0" xfId="0" applyAlignment="1" applyBorder="1" applyFont="1">
      <alignment vertical="bottom"/>
    </xf>
    <xf borderId="3" fillId="0" fontId="3" numFmtId="0" xfId="0" applyBorder="1" applyFont="1"/>
    <xf borderId="4" fillId="0" fontId="3" numFmtId="0" xfId="0" applyBorder="1" applyFont="1"/>
    <xf borderId="1" fillId="2" fontId="2" numFmtId="0" xfId="0" applyAlignment="1" applyBorder="1" applyFont="1">
      <alignment shrinkToFit="0" vertical="bottom" wrapText="1"/>
    </xf>
    <xf borderId="1" fillId="0" fontId="1" numFmtId="0" xfId="0" applyAlignment="1" applyBorder="1" applyFont="1">
      <alignment shrinkToFit="0" wrapText="1"/>
    </xf>
    <xf borderId="1" fillId="0" fontId="1" numFmtId="0" xfId="0" applyAlignment="1" applyBorder="1" applyFont="1">
      <alignment shrinkToFit="0" vertical="bottom" wrapText="1"/>
    </xf>
    <xf borderId="1" fillId="2" fontId="2" numFmtId="0" xfId="0" applyAlignment="1" applyBorder="1" applyFont="1">
      <alignment shrinkToFit="0" wrapText="1"/>
    </xf>
    <xf borderId="0" fillId="2" fontId="2" numFmtId="0" xfId="0" applyAlignment="1" applyFont="1">
      <alignment shrinkToFit="0" vertical="bottom" wrapText="1"/>
    </xf>
    <xf borderId="1" fillId="3" fontId="1" numFmtId="0" xfId="0" applyAlignment="1" applyBorder="1" applyFont="1">
      <alignment shrinkToFit="0" vertical="bottom" wrapText="1"/>
    </xf>
    <xf borderId="1" fillId="2" fontId="2" numFmtId="0" xfId="0" applyAlignment="1" applyBorder="1" applyFont="1">
      <alignment shrinkToFit="0" vertical="top" wrapText="1"/>
    </xf>
    <xf borderId="0" fillId="0" fontId="2" numFmtId="0" xfId="0" applyAlignment="1" applyFont="1">
      <alignment shrinkToFit="0" vertical="bottom" wrapText="0"/>
    </xf>
    <xf borderId="0" fillId="0" fontId="2" numFmtId="2" xfId="0" applyAlignment="1" applyFont="1" applyNumberFormat="1">
      <alignment shrinkToFit="0" vertical="bottom" wrapText="0"/>
    </xf>
    <xf borderId="1" fillId="0" fontId="2" numFmtId="2" xfId="0" applyAlignment="1" applyBorder="1" applyFont="1" applyNumberFormat="1">
      <alignment vertical="bottom"/>
    </xf>
    <xf borderId="0" fillId="0" fontId="2" numFmtId="1" xfId="0" applyAlignment="1" applyFont="1" applyNumberFormat="1">
      <alignment shrinkToFit="0" vertical="bottom" wrapText="0"/>
    </xf>
    <xf borderId="0" fillId="0" fontId="2" numFmtId="0" xfId="0" applyAlignment="1" applyFont="1">
      <alignment vertical="bottom"/>
    </xf>
    <xf borderId="0" fillId="0" fontId="2" numFmtId="0" xfId="0" applyAlignment="1" applyFont="1">
      <alignment horizontal="center" shrinkToFit="0" vertical="bottom" wrapText="0"/>
    </xf>
    <xf borderId="0" fillId="0" fontId="2" numFmtId="9" xfId="0" applyAlignment="1" applyFont="1" applyNumberFormat="1">
      <alignment vertical="bottom"/>
    </xf>
    <xf borderId="0" fillId="4" fontId="2" numFmtId="3" xfId="0" applyAlignment="1" applyFill="1" applyFont="1" applyNumberFormat="1">
      <alignment vertical="bottom"/>
    </xf>
    <xf borderId="0" fillId="0" fontId="2" numFmtId="1" xfId="0" applyAlignment="1" applyFont="1" applyNumberFormat="1">
      <alignment vertical="bottom"/>
    </xf>
    <xf borderId="1" fillId="4" fontId="1" numFmtId="0" xfId="0" applyAlignment="1" applyBorder="1" applyFont="1">
      <alignment shrinkToFit="0" vertical="bottom" wrapText="0"/>
    </xf>
    <xf borderId="1" fillId="0" fontId="2" numFmtId="0" xfId="0" applyAlignment="1" applyBorder="1" applyFont="1">
      <alignment vertical="bottom"/>
    </xf>
    <xf borderId="1" fillId="0" fontId="1" numFmtId="1" xfId="0" applyAlignment="1" applyBorder="1" applyFont="1" applyNumberFormat="1">
      <alignment horizontal="right" shrinkToFit="0" vertical="bottom" wrapText="0"/>
    </xf>
    <xf borderId="1" fillId="0" fontId="2" numFmtId="10" xfId="0" applyAlignment="1" applyBorder="1" applyFont="1" applyNumberFormat="1">
      <alignment vertical="bottom"/>
    </xf>
    <xf borderId="1" fillId="0" fontId="1" numFmtId="0" xfId="0" applyAlignment="1" applyBorder="1" applyFont="1">
      <alignment shrinkToFit="0" vertical="bottom" wrapText="0"/>
    </xf>
    <xf borderId="1" fillId="0" fontId="1" numFmtId="0" xfId="0" applyAlignment="1" applyBorder="1" applyFont="1">
      <alignment horizontal="right" shrinkToFit="0" vertical="bottom" wrapText="0"/>
    </xf>
    <xf borderId="5" fillId="5" fontId="1" numFmtId="0" xfId="0" applyAlignment="1" applyBorder="1" applyFill="1" applyFont="1">
      <alignment horizontal="center" shrinkToFit="0" vertical="bottom" wrapText="0"/>
    </xf>
    <xf borderId="6" fillId="0" fontId="3" numFmtId="0" xfId="0" applyBorder="1" applyFont="1"/>
    <xf borderId="7" fillId="0" fontId="3" numFmtId="0" xfId="0" applyBorder="1" applyFont="1"/>
    <xf borderId="5" fillId="6" fontId="1" numFmtId="0" xfId="0" applyAlignment="1" applyBorder="1" applyFill="1" applyFont="1">
      <alignment horizontal="center" shrinkToFit="0" vertical="bottom" wrapText="0"/>
    </xf>
    <xf borderId="5" fillId="7" fontId="1" numFmtId="0" xfId="0" applyAlignment="1" applyBorder="1" applyFill="1" applyFont="1">
      <alignment horizontal="center" shrinkToFit="0" vertical="bottom" wrapText="0"/>
    </xf>
    <xf borderId="5" fillId="8" fontId="1" numFmtId="0" xfId="0" applyAlignment="1" applyBorder="1" applyFill="1" applyFont="1">
      <alignment horizontal="center" shrinkToFit="0" vertical="bottom" wrapText="0"/>
    </xf>
    <xf borderId="5" fillId="9" fontId="1" numFmtId="0" xfId="0" applyAlignment="1" applyBorder="1" applyFill="1" applyFont="1">
      <alignment horizontal="center" shrinkToFit="0" vertical="bottom" wrapText="0"/>
    </xf>
    <xf borderId="5" fillId="10" fontId="1" numFmtId="0" xfId="0" applyAlignment="1" applyBorder="1" applyFill="1" applyFont="1">
      <alignment horizontal="center" shrinkToFit="0" vertical="bottom" wrapText="0"/>
    </xf>
    <xf borderId="5" fillId="11" fontId="1" numFmtId="0" xfId="0" applyAlignment="1" applyBorder="1" applyFill="1" applyFont="1">
      <alignment horizontal="center" shrinkToFit="0" vertical="bottom" wrapText="0"/>
    </xf>
    <xf borderId="5" fillId="12" fontId="1" numFmtId="0" xfId="0" applyAlignment="1" applyBorder="1" applyFill="1" applyFont="1">
      <alignment horizontal="center" shrinkToFit="0" vertical="bottom" wrapText="0"/>
    </xf>
    <xf borderId="5" fillId="13" fontId="1" numFmtId="0" xfId="0" applyAlignment="1" applyBorder="1" applyFill="1" applyFont="1">
      <alignment horizontal="center" shrinkToFit="0" vertical="bottom" wrapText="0"/>
    </xf>
    <xf borderId="5" fillId="14" fontId="1" numFmtId="0" xfId="0" applyAlignment="1" applyBorder="1" applyFill="1" applyFont="1">
      <alignment horizontal="center" shrinkToFit="0" vertical="bottom" wrapText="0"/>
    </xf>
    <xf borderId="5" fillId="15" fontId="1" numFmtId="0" xfId="0" applyAlignment="1" applyBorder="1" applyFill="1" applyFont="1">
      <alignment horizontal="center" shrinkToFit="0" vertical="bottom" wrapText="0"/>
    </xf>
    <xf borderId="5" fillId="16" fontId="1" numFmtId="0" xfId="0" applyAlignment="1" applyBorder="1" applyFill="1" applyFont="1">
      <alignment horizontal="center" shrinkToFit="0" vertical="bottom" wrapText="0"/>
    </xf>
    <xf borderId="1" fillId="0" fontId="2" numFmtId="9" xfId="0" applyAlignment="1" applyBorder="1" applyFont="1" applyNumberFormat="1">
      <alignment vertical="bottom"/>
    </xf>
    <xf borderId="0" fillId="4" fontId="1" numFmtId="3" xfId="0" applyAlignment="1" applyFont="1" applyNumberFormat="1">
      <alignment horizontal="center" shrinkToFit="0" vertical="bottom" wrapText="0"/>
    </xf>
    <xf borderId="1" fillId="0" fontId="2" numFmtId="1" xfId="0" applyAlignment="1" applyBorder="1" applyFont="1" applyNumberFormat="1">
      <alignment vertical="bottom"/>
    </xf>
    <xf borderId="1" fillId="0" fontId="2" numFmtId="0" xfId="0" applyAlignment="1" applyBorder="1" applyFont="1">
      <alignment shrinkToFit="0" vertical="bottom" wrapText="0"/>
    </xf>
    <xf borderId="1" fillId="5" fontId="1" numFmtId="0" xfId="0" applyAlignment="1" applyBorder="1" applyFont="1">
      <alignment shrinkToFit="0" vertical="bottom" wrapText="1"/>
    </xf>
    <xf borderId="1" fillId="6" fontId="1" numFmtId="0" xfId="0" applyAlignment="1" applyBorder="1" applyFont="1">
      <alignment shrinkToFit="0" vertical="bottom" wrapText="1"/>
    </xf>
    <xf borderId="1" fillId="7" fontId="1" numFmtId="0" xfId="0" applyAlignment="1" applyBorder="1" applyFont="1">
      <alignment shrinkToFit="0" vertical="bottom" wrapText="1"/>
    </xf>
    <xf borderId="1" fillId="8" fontId="1" numFmtId="0" xfId="0" applyAlignment="1" applyBorder="1" applyFont="1">
      <alignment shrinkToFit="0" vertical="bottom" wrapText="1"/>
    </xf>
    <xf borderId="1" fillId="8" fontId="4" numFmtId="0" xfId="0" applyAlignment="1" applyBorder="1" applyFont="1">
      <alignment shrinkToFit="0" vertical="bottom" wrapText="1"/>
    </xf>
    <xf borderId="1" fillId="17" fontId="2" numFmtId="0" xfId="0" applyAlignment="1" applyBorder="1" applyFill="1" applyFont="1">
      <alignment shrinkToFit="0" vertical="bottom" wrapText="1"/>
    </xf>
    <xf borderId="1" fillId="17" fontId="1" numFmtId="0" xfId="0" applyAlignment="1" applyBorder="1" applyFont="1">
      <alignment shrinkToFit="0" vertical="bottom" wrapText="1"/>
    </xf>
    <xf borderId="1" fillId="9" fontId="1" numFmtId="0" xfId="0" applyAlignment="1" applyBorder="1" applyFont="1">
      <alignment shrinkToFit="0" vertical="bottom" wrapText="1"/>
    </xf>
    <xf borderId="1" fillId="10" fontId="1" numFmtId="0" xfId="0" applyAlignment="1" applyBorder="1" applyFont="1">
      <alignment shrinkToFit="0" vertical="bottom" wrapText="1"/>
    </xf>
    <xf borderId="1" fillId="18" fontId="4" numFmtId="0" xfId="0" applyAlignment="1" applyBorder="1" applyFill="1" applyFont="1">
      <alignment shrinkToFit="0" vertical="bottom" wrapText="1"/>
    </xf>
    <xf borderId="1" fillId="11" fontId="4" numFmtId="0" xfId="0" applyAlignment="1" applyBorder="1" applyFont="1">
      <alignment shrinkToFit="0" vertical="bottom" wrapText="1"/>
    </xf>
    <xf borderId="1" fillId="12" fontId="1" numFmtId="0" xfId="0" applyAlignment="1" applyBorder="1" applyFont="1">
      <alignment shrinkToFit="0" vertical="bottom" wrapText="1"/>
    </xf>
    <xf borderId="1" fillId="13" fontId="1" numFmtId="0" xfId="0" applyAlignment="1" applyBorder="1" applyFont="1">
      <alignment shrinkToFit="0" vertical="bottom" wrapText="1"/>
    </xf>
    <xf borderId="1" fillId="14" fontId="1" numFmtId="0" xfId="0" applyAlignment="1" applyBorder="1" applyFont="1">
      <alignment shrinkToFit="0" vertical="bottom" wrapText="1"/>
    </xf>
    <xf borderId="1" fillId="15" fontId="1" numFmtId="0" xfId="0" applyAlignment="1" applyBorder="1" applyFont="1">
      <alignment shrinkToFit="0" vertical="bottom" wrapText="1"/>
    </xf>
    <xf borderId="1" fillId="16" fontId="1" numFmtId="0" xfId="0" applyAlignment="1" applyBorder="1" applyFont="1">
      <alignment shrinkToFit="0" vertical="bottom" wrapText="1"/>
    </xf>
    <xf borderId="1" fillId="19" fontId="1" numFmtId="9" xfId="0" applyAlignment="1" applyBorder="1" applyFill="1" applyFont="1" applyNumberFormat="1">
      <alignment horizontal="center" shrinkToFit="0" wrapText="1"/>
    </xf>
    <xf borderId="1" fillId="20" fontId="1" numFmtId="9" xfId="0" applyAlignment="1" applyBorder="1" applyFill="1" applyFont="1" applyNumberFormat="1">
      <alignment horizontal="center" shrinkToFit="0" wrapText="1"/>
    </xf>
    <xf borderId="1" fillId="21" fontId="1" numFmtId="9" xfId="0" applyAlignment="1" applyBorder="1" applyFill="1" applyFont="1" applyNumberFormat="1">
      <alignment horizontal="center" shrinkToFit="0" wrapText="1"/>
    </xf>
    <xf borderId="1" fillId="22" fontId="1" numFmtId="9" xfId="0" applyAlignment="1" applyBorder="1" applyFill="1" applyFont="1" applyNumberFormat="1">
      <alignment horizontal="center" shrinkToFit="0" wrapText="1"/>
    </xf>
    <xf borderId="1" fillId="23" fontId="1" numFmtId="9" xfId="0" applyAlignment="1" applyBorder="1" applyFill="1" applyFont="1" applyNumberFormat="1">
      <alignment horizontal="center" shrinkToFit="0" wrapText="1"/>
    </xf>
    <xf borderId="1" fillId="24" fontId="1" numFmtId="9" xfId="0" applyAlignment="1" applyBorder="1" applyFill="1" applyFont="1" applyNumberFormat="1">
      <alignment horizontal="center" shrinkToFit="0" wrapText="1"/>
    </xf>
    <xf borderId="1" fillId="25" fontId="1" numFmtId="9" xfId="0" applyAlignment="1" applyBorder="1" applyFill="1" applyFont="1" applyNumberFormat="1">
      <alignment horizontal="center" shrinkToFit="0" wrapText="1"/>
    </xf>
    <xf borderId="1" fillId="26" fontId="1" numFmtId="9" xfId="0" applyAlignment="1" applyBorder="1" applyFill="1" applyFont="1" applyNumberFormat="1">
      <alignment horizontal="center" shrinkToFit="0" wrapText="1"/>
    </xf>
    <xf borderId="1" fillId="27" fontId="1" numFmtId="9" xfId="0" applyAlignment="1" applyBorder="1" applyFill="1" applyFont="1" applyNumberFormat="1">
      <alignment horizontal="center" shrinkToFit="0" wrapText="1"/>
    </xf>
    <xf borderId="1" fillId="28" fontId="1" numFmtId="9" xfId="0" applyAlignment="1" applyBorder="1" applyFill="1" applyFont="1" applyNumberFormat="1">
      <alignment horizontal="center" shrinkToFit="0" wrapText="1"/>
    </xf>
    <xf borderId="1" fillId="29" fontId="1" numFmtId="9" xfId="0" applyAlignment="1" applyBorder="1" applyFill="1" applyFont="1" applyNumberFormat="1">
      <alignment horizontal="center" shrinkToFit="0" wrapText="1"/>
    </xf>
    <xf borderId="1" fillId="30" fontId="1" numFmtId="9" xfId="0" applyAlignment="1" applyBorder="1" applyFill="1" applyFont="1" applyNumberFormat="1">
      <alignment horizontal="center" shrinkToFit="0" wrapText="1"/>
    </xf>
    <xf borderId="0" fillId="3" fontId="1" numFmtId="164" xfId="0" applyAlignment="1" applyFont="1" applyNumberFormat="1">
      <alignment horizontal="center" shrinkToFit="0" wrapText="1"/>
    </xf>
    <xf borderId="0" fillId="31" fontId="1" numFmtId="1" xfId="0" applyAlignment="1" applyFill="1" applyFont="1" applyNumberFormat="1">
      <alignment horizontal="center" shrinkToFit="0" vertical="bottom" wrapText="1"/>
    </xf>
    <xf borderId="1" fillId="32" fontId="1" numFmtId="3" xfId="0" applyAlignment="1" applyBorder="1" applyFill="1" applyFont="1" applyNumberFormat="1">
      <alignment horizontal="center" shrinkToFit="0" vertical="bottom" wrapText="1"/>
    </xf>
    <xf borderId="0" fillId="32" fontId="1" numFmtId="3" xfId="0" applyAlignment="1" applyFont="1" applyNumberFormat="1">
      <alignment horizontal="center" shrinkToFit="0" vertical="bottom" wrapText="1"/>
    </xf>
    <xf borderId="0" fillId="32" fontId="2" numFmtId="3" xfId="0" applyAlignment="1" applyFont="1" applyNumberFormat="1">
      <alignment vertical="bottom"/>
    </xf>
    <xf borderId="1" fillId="0" fontId="5" numFmtId="0" xfId="0" applyAlignment="1" applyBorder="1" applyFont="1">
      <alignment shrinkToFit="0" vertical="bottom" wrapText="0"/>
    </xf>
    <xf quotePrefix="1" borderId="1" fillId="0" fontId="1" numFmtId="0" xfId="0" applyAlignment="1" applyBorder="1" applyFont="1">
      <alignment shrinkToFit="0" vertical="bottom" wrapText="0"/>
    </xf>
    <xf borderId="0" fillId="0" fontId="1" numFmtId="9" xfId="0" applyAlignment="1" applyFont="1" applyNumberFormat="1">
      <alignment horizontal="center" shrinkToFit="0" wrapText="0"/>
    </xf>
    <xf borderId="0" fillId="0" fontId="1" numFmtId="9" xfId="0" applyAlignment="1" applyFont="1" applyNumberFormat="1">
      <alignment horizontal="center" shrinkToFit="0" vertical="bottom" wrapText="0"/>
    </xf>
    <xf borderId="0" fillId="0" fontId="1" numFmtId="164" xfId="0" applyAlignment="1" applyFont="1" applyNumberFormat="1">
      <alignment horizontal="center" shrinkToFit="0" vertical="bottom" wrapText="0"/>
    </xf>
    <xf borderId="0" fillId="0" fontId="1" numFmtId="1" xfId="0" applyAlignment="1" applyFont="1" applyNumberFormat="1">
      <alignment horizontal="center" shrinkToFit="0" vertical="bottom" wrapText="0"/>
    </xf>
    <xf borderId="0" fillId="0" fontId="1" numFmtId="3" xfId="0" applyAlignment="1" applyFont="1" applyNumberFormat="1">
      <alignment horizontal="center" shrinkToFit="0" vertical="bottom" wrapText="0"/>
    </xf>
    <xf borderId="0" fillId="0" fontId="1" numFmtId="0" xfId="0" applyAlignment="1" applyFont="1">
      <alignment horizontal="center" shrinkToFit="0" vertical="bottom" wrapText="0"/>
    </xf>
    <xf borderId="1" fillId="0"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document/d/1dTN8PU0_r4maZD-iwCnaauvwW5KZ8Nh3I6rTlcaQ_g0/edit?usp=drivesdk" TargetMode="External"/><Relationship Id="rId10" Type="http://schemas.openxmlformats.org/officeDocument/2006/relationships/hyperlink" Target="https://sternmeister.kommo.com/leads/detail/12690424" TargetMode="External"/><Relationship Id="rId13" Type="http://schemas.openxmlformats.org/officeDocument/2006/relationships/hyperlink" Target="https://docs.google.com/document/d/1waxTr8k0zF6RvlQ-LAhybui9fxPhvzfik_p-lANMIJI/edit?usp=drivesdk" TargetMode="External"/><Relationship Id="rId12" Type="http://schemas.openxmlformats.org/officeDocument/2006/relationships/hyperlink" Target="https://sternmeister.kommo.com/leads/detail/12655810" TargetMode="External"/><Relationship Id="rId1" Type="http://schemas.openxmlformats.org/officeDocument/2006/relationships/hyperlink" Target="https://docs.google.com/document/d/1wi9p93DNcOQ93kH_4AzYMf40jy5CTXDeq5KrBEOG2NA/edit?usp=drivesdk" TargetMode="External"/><Relationship Id="rId2" Type="http://schemas.openxmlformats.org/officeDocument/2006/relationships/hyperlink" Target="https://sternmeister.kommo.com/leads/detail/12651206" TargetMode="External"/><Relationship Id="rId3" Type="http://schemas.openxmlformats.org/officeDocument/2006/relationships/hyperlink" Target="https://docs.google.com/document/d/11qvTi7jlaDPybiamxKyhhnWDwhnk82AGlOCNBXS9B3w/edit?usp=drivesdk" TargetMode="External"/><Relationship Id="rId4" Type="http://schemas.openxmlformats.org/officeDocument/2006/relationships/hyperlink" Target="https://sternmeister.kommo.com/leads/detail/12622903" TargetMode="External"/><Relationship Id="rId9" Type="http://schemas.openxmlformats.org/officeDocument/2006/relationships/hyperlink" Target="https://docs.google.com/document/d/1mxuUlV_PKebeW_b2Sbb7pFNlRhYWk0LpeFrCRn4PIjI/edit?usp=drivesdk" TargetMode="External"/><Relationship Id="rId15" Type="http://schemas.openxmlformats.org/officeDocument/2006/relationships/drawing" Target="../drawings/drawing2.xml"/><Relationship Id="rId14" Type="http://schemas.openxmlformats.org/officeDocument/2006/relationships/hyperlink" Target="https://sternmeister.kommo.com/leads/detail/12701738" TargetMode="External"/><Relationship Id="rId5" Type="http://schemas.openxmlformats.org/officeDocument/2006/relationships/hyperlink" Target="https://docs.google.com/document/d/1rOH_FqBJFmPGtCNUL1YT4MAKLXevk_cSislZzlkKlTM/edit?usp=drivesdk" TargetMode="External"/><Relationship Id="rId6" Type="http://schemas.openxmlformats.org/officeDocument/2006/relationships/hyperlink" Target="https://sternmeister.kommo.com/leads/detail/12594494" TargetMode="External"/><Relationship Id="rId7" Type="http://schemas.openxmlformats.org/officeDocument/2006/relationships/hyperlink" Target="https://docs.google.com/document/d/1KNFWLzjCre0rV_ecJ2qj2dt3ebl5CSose4tIlclY_qs/edit?usp=drivesdk" TargetMode="External"/><Relationship Id="rId8" Type="http://schemas.openxmlformats.org/officeDocument/2006/relationships/hyperlink" Target="https://sternmeister.kommo.com/leads/detail/1241025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8.38"/>
  </cols>
  <sheetData>
    <row r="1">
      <c r="A1" s="1" t="s">
        <v>0</v>
      </c>
      <c r="B1" s="2" t="s">
        <v>1</v>
      </c>
      <c r="C1" s="3" t="s">
        <v>2</v>
      </c>
      <c r="D1" s="4" t="s">
        <v>3</v>
      </c>
      <c r="E1" s="5"/>
      <c r="F1" s="6"/>
      <c r="G1" s="6"/>
      <c r="H1" s="6"/>
      <c r="I1" s="6"/>
      <c r="J1" s="6"/>
      <c r="K1" s="6"/>
      <c r="L1" s="6"/>
      <c r="M1" s="6"/>
      <c r="N1" s="6"/>
      <c r="O1" s="6"/>
      <c r="P1" s="6"/>
      <c r="Q1" s="6"/>
      <c r="R1" s="6"/>
      <c r="S1" s="6"/>
      <c r="T1" s="6"/>
      <c r="U1" s="6"/>
      <c r="V1" s="6"/>
      <c r="W1" s="6"/>
      <c r="X1" s="6"/>
      <c r="Y1" s="6"/>
      <c r="Z1" s="6"/>
    </row>
    <row r="2">
      <c r="A2" s="7" t="s">
        <v>4</v>
      </c>
      <c r="B2" s="2">
        <v>1.0</v>
      </c>
      <c r="C2" s="3" t="s">
        <v>5</v>
      </c>
      <c r="D2" s="8" t="s">
        <v>6</v>
      </c>
      <c r="E2" s="9"/>
      <c r="F2" s="10"/>
      <c r="G2" s="6"/>
      <c r="H2" s="6"/>
      <c r="I2" s="6"/>
      <c r="J2" s="6"/>
      <c r="K2" s="6"/>
      <c r="L2" s="6"/>
      <c r="M2" s="6"/>
      <c r="N2" s="6"/>
      <c r="O2" s="6"/>
      <c r="P2" s="6"/>
      <c r="Q2" s="6"/>
      <c r="R2" s="6"/>
      <c r="S2" s="6"/>
      <c r="T2" s="6"/>
      <c r="U2" s="6"/>
      <c r="V2" s="6"/>
      <c r="W2" s="6"/>
      <c r="X2" s="6"/>
      <c r="Y2" s="6"/>
      <c r="Z2" s="6"/>
    </row>
    <row r="3">
      <c r="A3" s="11"/>
      <c r="B3" s="2">
        <v>2.0</v>
      </c>
      <c r="C3" s="3" t="s">
        <v>7</v>
      </c>
      <c r="D3" s="4" t="s">
        <v>8</v>
      </c>
      <c r="E3" s="9"/>
      <c r="F3" s="9"/>
      <c r="G3" s="6"/>
      <c r="H3" s="6"/>
      <c r="I3" s="6"/>
      <c r="J3" s="6"/>
      <c r="K3" s="6"/>
      <c r="L3" s="6"/>
      <c r="M3" s="6"/>
      <c r="N3" s="6"/>
      <c r="O3" s="6"/>
      <c r="P3" s="6"/>
      <c r="Q3" s="6"/>
      <c r="R3" s="6"/>
      <c r="S3" s="6"/>
      <c r="T3" s="6"/>
      <c r="U3" s="6"/>
      <c r="V3" s="6"/>
      <c r="W3" s="6"/>
      <c r="X3" s="6"/>
      <c r="Y3" s="6"/>
      <c r="Z3" s="6"/>
    </row>
    <row r="4">
      <c r="A4" s="11"/>
      <c r="B4" s="2">
        <v>3.0</v>
      </c>
      <c r="C4" s="3" t="s">
        <v>9</v>
      </c>
      <c r="D4" s="4" t="s">
        <v>10</v>
      </c>
      <c r="E4" s="9"/>
      <c r="F4" s="6"/>
      <c r="G4" s="6"/>
      <c r="H4" s="6"/>
      <c r="I4" s="6"/>
      <c r="J4" s="6"/>
      <c r="K4" s="6"/>
      <c r="L4" s="6"/>
      <c r="M4" s="6"/>
      <c r="N4" s="6"/>
      <c r="O4" s="6"/>
      <c r="P4" s="6"/>
      <c r="Q4" s="6"/>
      <c r="R4" s="6"/>
      <c r="S4" s="6"/>
      <c r="T4" s="6"/>
      <c r="U4" s="6"/>
      <c r="V4" s="6"/>
      <c r="W4" s="6"/>
      <c r="X4" s="6"/>
      <c r="Y4" s="6"/>
      <c r="Z4" s="6"/>
    </row>
    <row r="5">
      <c r="A5" s="12"/>
      <c r="B5" s="2">
        <v>4.0</v>
      </c>
      <c r="C5" s="3" t="s">
        <v>11</v>
      </c>
      <c r="D5" s="13" t="s">
        <v>12</v>
      </c>
      <c r="E5" s="9"/>
      <c r="F5" s="9"/>
      <c r="G5" s="6"/>
      <c r="H5" s="6"/>
      <c r="I5" s="6"/>
      <c r="J5" s="6"/>
      <c r="K5" s="6"/>
      <c r="L5" s="6"/>
      <c r="M5" s="6"/>
      <c r="N5" s="6"/>
      <c r="O5" s="6"/>
      <c r="P5" s="6"/>
      <c r="Q5" s="6"/>
      <c r="R5" s="6"/>
      <c r="S5" s="6"/>
      <c r="T5" s="6"/>
      <c r="U5" s="6"/>
      <c r="V5" s="6"/>
      <c r="W5" s="6"/>
      <c r="X5" s="6"/>
      <c r="Y5" s="6"/>
      <c r="Z5" s="6"/>
    </row>
    <row r="6">
      <c r="A6" s="7" t="s">
        <v>13</v>
      </c>
      <c r="B6" s="2">
        <v>5.0</v>
      </c>
      <c r="C6" s="3" t="s">
        <v>14</v>
      </c>
      <c r="D6" s="4" t="s">
        <v>15</v>
      </c>
      <c r="E6" s="9"/>
      <c r="F6" s="6"/>
      <c r="G6" s="6"/>
      <c r="H6" s="6"/>
      <c r="I6" s="6"/>
      <c r="J6" s="6"/>
      <c r="K6" s="6"/>
      <c r="L6" s="6"/>
      <c r="M6" s="6"/>
      <c r="N6" s="6"/>
      <c r="O6" s="6"/>
      <c r="P6" s="6"/>
      <c r="Q6" s="6"/>
      <c r="R6" s="6"/>
      <c r="S6" s="6"/>
      <c r="T6" s="6"/>
      <c r="U6" s="6"/>
      <c r="V6" s="6"/>
      <c r="W6" s="6"/>
      <c r="X6" s="6"/>
      <c r="Y6" s="6"/>
      <c r="Z6" s="6"/>
    </row>
    <row r="7">
      <c r="A7" s="11"/>
      <c r="B7" s="2">
        <v>6.0</v>
      </c>
      <c r="C7" s="3" t="s">
        <v>16</v>
      </c>
      <c r="D7" s="4" t="s">
        <v>17</v>
      </c>
      <c r="E7" s="9"/>
      <c r="F7" s="6"/>
      <c r="G7" s="6"/>
      <c r="H7" s="6"/>
      <c r="I7" s="6"/>
      <c r="J7" s="6"/>
      <c r="K7" s="6"/>
      <c r="L7" s="6"/>
      <c r="M7" s="6"/>
      <c r="N7" s="6"/>
      <c r="O7" s="6"/>
      <c r="P7" s="6"/>
      <c r="Q7" s="6"/>
      <c r="R7" s="6"/>
      <c r="S7" s="6"/>
      <c r="T7" s="6"/>
      <c r="U7" s="6"/>
      <c r="V7" s="6"/>
      <c r="W7" s="6"/>
      <c r="X7" s="6"/>
      <c r="Y7" s="6"/>
      <c r="Z7" s="6"/>
    </row>
    <row r="8">
      <c r="A8" s="11"/>
      <c r="B8" s="2">
        <v>7.0</v>
      </c>
      <c r="C8" s="3" t="s">
        <v>18</v>
      </c>
      <c r="D8" s="4" t="s">
        <v>19</v>
      </c>
      <c r="E8" s="9"/>
      <c r="F8" s="6"/>
      <c r="G8" s="6"/>
      <c r="H8" s="6"/>
      <c r="I8" s="6"/>
      <c r="J8" s="6"/>
      <c r="K8" s="6"/>
      <c r="L8" s="6"/>
      <c r="M8" s="6"/>
      <c r="N8" s="6"/>
      <c r="O8" s="6"/>
      <c r="P8" s="6"/>
      <c r="Q8" s="6"/>
      <c r="R8" s="6"/>
      <c r="S8" s="6"/>
      <c r="T8" s="6"/>
      <c r="U8" s="6"/>
      <c r="V8" s="6"/>
      <c r="W8" s="6"/>
      <c r="X8" s="6"/>
      <c r="Y8" s="6"/>
      <c r="Z8" s="6"/>
    </row>
    <row r="9">
      <c r="A9" s="11"/>
      <c r="B9" s="2">
        <v>8.0</v>
      </c>
      <c r="C9" s="3" t="s">
        <v>20</v>
      </c>
      <c r="D9" s="4" t="s">
        <v>21</v>
      </c>
      <c r="E9" s="9"/>
      <c r="F9" s="6"/>
      <c r="G9" s="6"/>
      <c r="H9" s="6"/>
      <c r="I9" s="6"/>
      <c r="J9" s="6"/>
      <c r="K9" s="6"/>
      <c r="L9" s="6"/>
      <c r="M9" s="6"/>
      <c r="N9" s="6"/>
      <c r="O9" s="6"/>
      <c r="P9" s="6"/>
      <c r="Q9" s="6"/>
      <c r="R9" s="6"/>
      <c r="S9" s="6"/>
      <c r="T9" s="6"/>
      <c r="U9" s="6"/>
      <c r="V9" s="6"/>
      <c r="W9" s="6"/>
      <c r="X9" s="6"/>
      <c r="Y9" s="6"/>
      <c r="Z9" s="6"/>
    </row>
    <row r="10">
      <c r="A10" s="11"/>
      <c r="B10" s="2">
        <v>9.0</v>
      </c>
      <c r="C10" s="14" t="s">
        <v>22</v>
      </c>
      <c r="D10" s="15" t="s">
        <v>23</v>
      </c>
      <c r="E10" s="9"/>
      <c r="F10" s="9"/>
      <c r="G10" s="6"/>
      <c r="H10" s="6"/>
      <c r="I10" s="6"/>
      <c r="J10" s="6"/>
      <c r="K10" s="6"/>
      <c r="L10" s="6"/>
      <c r="M10" s="6"/>
      <c r="N10" s="6"/>
      <c r="O10" s="6"/>
      <c r="P10" s="6"/>
      <c r="Q10" s="6"/>
      <c r="R10" s="6"/>
      <c r="S10" s="6"/>
      <c r="T10" s="6"/>
      <c r="U10" s="6"/>
      <c r="V10" s="6"/>
      <c r="W10" s="6"/>
      <c r="X10" s="6"/>
      <c r="Y10" s="6"/>
      <c r="Z10" s="6"/>
    </row>
    <row r="11">
      <c r="A11" s="11"/>
      <c r="B11" s="2">
        <v>10.0</v>
      </c>
      <c r="C11" s="3" t="s">
        <v>24</v>
      </c>
      <c r="D11" s="4" t="s">
        <v>25</v>
      </c>
      <c r="E11" s="9"/>
      <c r="F11" s="9"/>
      <c r="G11" s="6"/>
      <c r="H11" s="6"/>
      <c r="I11" s="6"/>
      <c r="J11" s="6"/>
      <c r="K11" s="6"/>
      <c r="L11" s="6"/>
      <c r="M11" s="6"/>
      <c r="N11" s="6"/>
      <c r="O11" s="6"/>
      <c r="P11" s="6"/>
      <c r="Q11" s="6"/>
      <c r="R11" s="6"/>
      <c r="S11" s="6"/>
      <c r="T11" s="6"/>
      <c r="U11" s="6"/>
      <c r="V11" s="6"/>
      <c r="W11" s="6"/>
      <c r="X11" s="6"/>
      <c r="Y11" s="6"/>
      <c r="Z11" s="6"/>
    </row>
    <row r="12">
      <c r="A12" s="12"/>
      <c r="B12" s="2">
        <v>11.0</v>
      </c>
      <c r="C12" s="3" t="s">
        <v>26</v>
      </c>
      <c r="D12" s="4" t="s">
        <v>27</v>
      </c>
      <c r="E12" s="9"/>
      <c r="F12" s="6"/>
      <c r="G12" s="6"/>
      <c r="H12" s="6"/>
      <c r="I12" s="6"/>
      <c r="J12" s="6"/>
      <c r="K12" s="6"/>
      <c r="L12" s="6"/>
      <c r="M12" s="6"/>
      <c r="N12" s="6"/>
      <c r="O12" s="6"/>
      <c r="P12" s="6"/>
      <c r="Q12" s="6"/>
      <c r="R12" s="6"/>
      <c r="S12" s="6"/>
      <c r="T12" s="6"/>
      <c r="U12" s="6"/>
      <c r="V12" s="6"/>
      <c r="W12" s="6"/>
      <c r="X12" s="6"/>
      <c r="Y12" s="6"/>
      <c r="Z12" s="6"/>
    </row>
    <row r="13">
      <c r="A13" s="7" t="s">
        <v>28</v>
      </c>
      <c r="B13" s="2">
        <v>12.0</v>
      </c>
      <c r="C13" s="3" t="s">
        <v>29</v>
      </c>
      <c r="D13" s="4" t="s">
        <v>30</v>
      </c>
      <c r="E13" s="9"/>
      <c r="F13" s="6"/>
      <c r="G13" s="6"/>
      <c r="H13" s="6"/>
      <c r="I13" s="6"/>
      <c r="J13" s="6"/>
      <c r="K13" s="6"/>
      <c r="L13" s="6"/>
      <c r="M13" s="6"/>
      <c r="N13" s="6"/>
      <c r="O13" s="6"/>
      <c r="P13" s="6"/>
      <c r="Q13" s="6"/>
      <c r="R13" s="6"/>
      <c r="S13" s="6"/>
      <c r="T13" s="6"/>
      <c r="U13" s="6"/>
      <c r="V13" s="6"/>
      <c r="W13" s="6"/>
      <c r="X13" s="6"/>
      <c r="Y13" s="6"/>
      <c r="Z13" s="6"/>
    </row>
    <row r="14">
      <c r="A14" s="12"/>
      <c r="B14" s="2">
        <v>13.0</v>
      </c>
      <c r="C14" s="3" t="s">
        <v>31</v>
      </c>
      <c r="D14" s="4" t="s">
        <v>32</v>
      </c>
      <c r="E14" s="9"/>
      <c r="F14" s="6"/>
      <c r="G14" s="6"/>
      <c r="H14" s="6"/>
      <c r="I14" s="6"/>
      <c r="J14" s="6"/>
      <c r="K14" s="6"/>
      <c r="L14" s="6"/>
      <c r="M14" s="6"/>
      <c r="N14" s="6"/>
      <c r="O14" s="6"/>
      <c r="P14" s="6"/>
      <c r="Q14" s="6"/>
      <c r="R14" s="6"/>
      <c r="S14" s="6"/>
      <c r="T14" s="6"/>
      <c r="U14" s="6"/>
      <c r="V14" s="6"/>
      <c r="W14" s="6"/>
      <c r="X14" s="6"/>
      <c r="Y14" s="6"/>
      <c r="Z14" s="6"/>
    </row>
    <row r="15">
      <c r="A15" s="7" t="s">
        <v>33</v>
      </c>
      <c r="B15" s="2">
        <v>14.0</v>
      </c>
      <c r="C15" s="3" t="s">
        <v>34</v>
      </c>
      <c r="D15" s="4" t="s">
        <v>35</v>
      </c>
      <c r="E15" s="9"/>
      <c r="F15" s="9"/>
      <c r="G15" s="6"/>
      <c r="H15" s="6"/>
      <c r="I15" s="6"/>
      <c r="J15" s="6"/>
      <c r="K15" s="6"/>
      <c r="L15" s="6"/>
      <c r="M15" s="6"/>
      <c r="N15" s="6"/>
      <c r="O15" s="6"/>
      <c r="P15" s="6"/>
      <c r="Q15" s="6"/>
      <c r="R15" s="6"/>
      <c r="S15" s="6"/>
      <c r="T15" s="6"/>
      <c r="U15" s="6"/>
      <c r="V15" s="6"/>
      <c r="W15" s="6"/>
      <c r="X15" s="6"/>
      <c r="Y15" s="6"/>
      <c r="Z15" s="6"/>
    </row>
    <row r="16">
      <c r="A16" s="11"/>
      <c r="B16" s="2">
        <v>15.0</v>
      </c>
      <c r="C16" s="16" t="s">
        <v>36</v>
      </c>
      <c r="D16" s="17" t="s">
        <v>37</v>
      </c>
      <c r="E16" s="9"/>
      <c r="F16" s="9"/>
      <c r="G16" s="6"/>
      <c r="H16" s="6"/>
      <c r="I16" s="6"/>
      <c r="J16" s="6"/>
      <c r="K16" s="6"/>
      <c r="L16" s="6"/>
      <c r="M16" s="6"/>
      <c r="N16" s="6"/>
      <c r="O16" s="6"/>
      <c r="P16" s="6"/>
      <c r="Q16" s="6"/>
      <c r="R16" s="6"/>
      <c r="S16" s="6"/>
      <c r="T16" s="6"/>
      <c r="U16" s="6"/>
      <c r="V16" s="6"/>
      <c r="W16" s="6"/>
      <c r="X16" s="6"/>
      <c r="Y16" s="6"/>
      <c r="Z16" s="6"/>
    </row>
    <row r="17">
      <c r="A17" s="12"/>
      <c r="B17" s="2">
        <v>16.0</v>
      </c>
      <c r="C17" s="16" t="s">
        <v>38</v>
      </c>
      <c r="D17" s="13" t="s">
        <v>39</v>
      </c>
      <c r="E17" s="9"/>
      <c r="F17" s="6"/>
      <c r="G17" s="6"/>
      <c r="H17" s="6"/>
      <c r="I17" s="6"/>
      <c r="J17" s="6"/>
      <c r="K17" s="6"/>
      <c r="L17" s="6"/>
      <c r="M17" s="6"/>
      <c r="N17" s="6"/>
      <c r="O17" s="6"/>
      <c r="P17" s="6"/>
      <c r="Q17" s="6"/>
      <c r="R17" s="6"/>
      <c r="S17" s="6"/>
      <c r="T17" s="6"/>
      <c r="U17" s="6"/>
      <c r="V17" s="6"/>
      <c r="W17" s="6"/>
      <c r="X17" s="6"/>
      <c r="Y17" s="6"/>
      <c r="Z17" s="6"/>
    </row>
    <row r="18">
      <c r="A18" s="7" t="s">
        <v>40</v>
      </c>
      <c r="B18" s="2">
        <v>17.0</v>
      </c>
      <c r="C18" s="3" t="s">
        <v>41</v>
      </c>
      <c r="D18" s="4" t="s">
        <v>42</v>
      </c>
      <c r="E18" s="9"/>
      <c r="F18" s="6"/>
      <c r="G18" s="6"/>
      <c r="H18" s="6"/>
      <c r="I18" s="6"/>
      <c r="J18" s="6"/>
      <c r="K18" s="6"/>
      <c r="L18" s="6"/>
      <c r="M18" s="6"/>
      <c r="N18" s="6"/>
      <c r="O18" s="6"/>
      <c r="P18" s="6"/>
      <c r="Q18" s="6"/>
      <c r="R18" s="6"/>
      <c r="S18" s="6"/>
      <c r="T18" s="6"/>
      <c r="U18" s="6"/>
      <c r="V18" s="6"/>
      <c r="W18" s="6"/>
      <c r="X18" s="6"/>
      <c r="Y18" s="6"/>
      <c r="Z18" s="6"/>
    </row>
    <row r="19">
      <c r="A19" s="11"/>
      <c r="B19" s="2">
        <v>18.0</v>
      </c>
      <c r="C19" s="3" t="s">
        <v>43</v>
      </c>
      <c r="D19" s="13" t="s">
        <v>44</v>
      </c>
      <c r="E19" s="9"/>
      <c r="F19" s="9"/>
      <c r="G19" s="6"/>
      <c r="H19" s="6"/>
      <c r="I19" s="6"/>
      <c r="J19" s="6"/>
      <c r="K19" s="6"/>
      <c r="L19" s="6"/>
      <c r="M19" s="6"/>
      <c r="N19" s="6"/>
      <c r="O19" s="6"/>
      <c r="P19" s="6"/>
      <c r="Q19" s="6"/>
      <c r="R19" s="6"/>
      <c r="S19" s="6"/>
      <c r="T19" s="6"/>
      <c r="U19" s="6"/>
      <c r="V19" s="6"/>
      <c r="W19" s="6"/>
      <c r="X19" s="6"/>
      <c r="Y19" s="6"/>
      <c r="Z19" s="6"/>
    </row>
    <row r="20">
      <c r="A20" s="11"/>
      <c r="B20" s="2">
        <v>19.0</v>
      </c>
      <c r="C20" s="3" t="s">
        <v>45</v>
      </c>
      <c r="D20" s="4" t="s">
        <v>46</v>
      </c>
      <c r="E20" s="9"/>
      <c r="F20" s="9"/>
      <c r="G20" s="6"/>
      <c r="H20" s="6"/>
      <c r="I20" s="6"/>
      <c r="J20" s="6"/>
      <c r="K20" s="6"/>
      <c r="L20" s="6"/>
      <c r="M20" s="6"/>
      <c r="N20" s="6"/>
      <c r="O20" s="6"/>
      <c r="P20" s="6"/>
      <c r="Q20" s="6"/>
      <c r="R20" s="6"/>
      <c r="S20" s="6"/>
      <c r="T20" s="6"/>
      <c r="U20" s="6"/>
      <c r="V20" s="6"/>
      <c r="W20" s="6"/>
      <c r="X20" s="6"/>
      <c r="Y20" s="6"/>
      <c r="Z20" s="6"/>
    </row>
    <row r="21">
      <c r="A21" s="11"/>
      <c r="B21" s="2">
        <v>20.0</v>
      </c>
      <c r="C21" s="3" t="s">
        <v>47</v>
      </c>
      <c r="D21" s="4" t="s">
        <v>48</v>
      </c>
      <c r="E21" s="9"/>
      <c r="F21" s="6"/>
      <c r="G21" s="6"/>
      <c r="H21" s="6"/>
      <c r="I21" s="6"/>
      <c r="J21" s="6"/>
      <c r="K21" s="6"/>
      <c r="L21" s="6"/>
      <c r="M21" s="6"/>
      <c r="N21" s="6"/>
      <c r="O21" s="6"/>
      <c r="P21" s="6"/>
      <c r="Q21" s="6"/>
      <c r="R21" s="6"/>
      <c r="S21" s="6"/>
      <c r="T21" s="6"/>
      <c r="U21" s="6"/>
      <c r="V21" s="6"/>
      <c r="W21" s="6"/>
      <c r="X21" s="6"/>
      <c r="Y21" s="6"/>
      <c r="Z21" s="6"/>
    </row>
    <row r="22">
      <c r="A22" s="12"/>
      <c r="B22" s="2">
        <v>21.0</v>
      </c>
      <c r="C22" s="3" t="s">
        <v>49</v>
      </c>
      <c r="D22" s="4" t="s">
        <v>50</v>
      </c>
      <c r="E22" s="9"/>
      <c r="F22" s="6"/>
      <c r="G22" s="6"/>
      <c r="H22" s="6"/>
      <c r="I22" s="6"/>
      <c r="J22" s="6"/>
      <c r="K22" s="6"/>
      <c r="L22" s="6"/>
      <c r="M22" s="6"/>
      <c r="N22" s="6"/>
      <c r="O22" s="6"/>
      <c r="P22" s="6"/>
      <c r="Q22" s="6"/>
      <c r="R22" s="6"/>
      <c r="S22" s="6"/>
      <c r="T22" s="6"/>
      <c r="U22" s="6"/>
      <c r="V22" s="6"/>
      <c r="W22" s="6"/>
      <c r="X22" s="6"/>
      <c r="Y22" s="6"/>
      <c r="Z22" s="6"/>
    </row>
    <row r="23">
      <c r="A23" s="7" t="s">
        <v>51</v>
      </c>
      <c r="B23" s="2">
        <v>22.0</v>
      </c>
      <c r="C23" s="3" t="s">
        <v>52</v>
      </c>
      <c r="D23" s="13" t="s">
        <v>53</v>
      </c>
      <c r="E23" s="9"/>
      <c r="F23" s="6"/>
      <c r="G23" s="6"/>
      <c r="H23" s="6"/>
      <c r="I23" s="6"/>
      <c r="J23" s="6"/>
      <c r="K23" s="6"/>
      <c r="L23" s="6"/>
      <c r="M23" s="6"/>
      <c r="N23" s="6"/>
      <c r="O23" s="6"/>
      <c r="P23" s="6"/>
      <c r="Q23" s="6"/>
      <c r="R23" s="6"/>
      <c r="S23" s="6"/>
      <c r="T23" s="6"/>
      <c r="U23" s="6"/>
      <c r="V23" s="6"/>
      <c r="W23" s="6"/>
      <c r="X23" s="6"/>
      <c r="Y23" s="6"/>
      <c r="Z23" s="6"/>
    </row>
    <row r="24">
      <c r="A24" s="11"/>
      <c r="B24" s="2">
        <v>23.0</v>
      </c>
      <c r="C24" s="3" t="s">
        <v>54</v>
      </c>
      <c r="D24" s="4" t="s">
        <v>55</v>
      </c>
      <c r="E24" s="9"/>
      <c r="F24" s="6"/>
      <c r="G24" s="6"/>
      <c r="H24" s="6"/>
      <c r="I24" s="6"/>
      <c r="J24" s="6"/>
      <c r="K24" s="6"/>
      <c r="L24" s="6"/>
      <c r="M24" s="6"/>
      <c r="N24" s="6"/>
      <c r="O24" s="6"/>
      <c r="P24" s="6"/>
      <c r="Q24" s="6"/>
      <c r="R24" s="6"/>
      <c r="S24" s="6"/>
      <c r="T24" s="6"/>
      <c r="U24" s="6"/>
      <c r="V24" s="6"/>
      <c r="W24" s="6"/>
      <c r="X24" s="6"/>
      <c r="Y24" s="6"/>
      <c r="Z24" s="6"/>
    </row>
    <row r="25">
      <c r="A25" s="11"/>
      <c r="B25" s="2">
        <v>24.0</v>
      </c>
      <c r="C25" s="3" t="s">
        <v>56</v>
      </c>
      <c r="D25" s="18" t="s">
        <v>57</v>
      </c>
      <c r="E25" s="9"/>
      <c r="F25" s="6"/>
      <c r="G25" s="6"/>
      <c r="H25" s="6"/>
      <c r="I25" s="6"/>
      <c r="J25" s="6"/>
      <c r="K25" s="6"/>
      <c r="L25" s="6"/>
      <c r="M25" s="6"/>
      <c r="N25" s="6"/>
      <c r="O25" s="6"/>
      <c r="P25" s="6"/>
      <c r="Q25" s="6"/>
      <c r="R25" s="6"/>
      <c r="S25" s="6"/>
      <c r="T25" s="6"/>
      <c r="U25" s="6"/>
      <c r="V25" s="6"/>
      <c r="W25" s="6"/>
      <c r="X25" s="6"/>
      <c r="Y25" s="6"/>
      <c r="Z25" s="6"/>
    </row>
    <row r="26">
      <c r="A26" s="12"/>
      <c r="B26" s="2">
        <v>25.0</v>
      </c>
      <c r="C26" s="3" t="s">
        <v>58</v>
      </c>
      <c r="D26" s="4" t="s">
        <v>59</v>
      </c>
      <c r="E26" s="9"/>
      <c r="F26" s="6"/>
      <c r="G26" s="6"/>
      <c r="H26" s="6"/>
      <c r="I26" s="6"/>
      <c r="J26" s="6"/>
      <c r="K26" s="6"/>
      <c r="L26" s="6"/>
      <c r="M26" s="6"/>
      <c r="N26" s="6"/>
      <c r="O26" s="6"/>
      <c r="P26" s="6"/>
      <c r="Q26" s="6"/>
      <c r="R26" s="6"/>
      <c r="S26" s="6"/>
      <c r="T26" s="6"/>
      <c r="U26" s="6"/>
      <c r="V26" s="6"/>
      <c r="W26" s="6"/>
      <c r="X26" s="6"/>
      <c r="Y26" s="6"/>
      <c r="Z26" s="6"/>
    </row>
    <row r="27">
      <c r="A27" s="7" t="s">
        <v>60</v>
      </c>
      <c r="B27" s="2">
        <v>26.0</v>
      </c>
      <c r="C27" s="3" t="s">
        <v>61</v>
      </c>
      <c r="D27" s="13" t="s">
        <v>62</v>
      </c>
      <c r="E27" s="9"/>
      <c r="F27" s="6"/>
      <c r="G27" s="6"/>
      <c r="H27" s="6"/>
      <c r="I27" s="6"/>
      <c r="J27" s="6"/>
      <c r="K27" s="6"/>
      <c r="L27" s="6"/>
      <c r="M27" s="6"/>
      <c r="N27" s="6"/>
      <c r="O27" s="6"/>
      <c r="P27" s="6"/>
      <c r="Q27" s="6"/>
      <c r="R27" s="6"/>
      <c r="S27" s="6"/>
      <c r="T27" s="6"/>
      <c r="U27" s="6"/>
      <c r="V27" s="6"/>
      <c r="W27" s="6"/>
      <c r="X27" s="6"/>
      <c r="Y27" s="6"/>
      <c r="Z27" s="6"/>
    </row>
    <row r="28">
      <c r="A28" s="11"/>
      <c r="B28" s="2">
        <v>27.0</v>
      </c>
      <c r="C28" s="3" t="s">
        <v>63</v>
      </c>
      <c r="D28" s="4" t="s">
        <v>64</v>
      </c>
      <c r="E28" s="9"/>
      <c r="F28" s="6"/>
      <c r="G28" s="6"/>
      <c r="H28" s="6"/>
      <c r="I28" s="6"/>
      <c r="J28" s="6"/>
      <c r="K28" s="6"/>
      <c r="L28" s="6"/>
      <c r="M28" s="6"/>
      <c r="N28" s="6"/>
      <c r="O28" s="6"/>
      <c r="P28" s="6"/>
      <c r="Q28" s="6"/>
      <c r="R28" s="6"/>
      <c r="S28" s="6"/>
      <c r="T28" s="6"/>
      <c r="U28" s="6"/>
      <c r="V28" s="6"/>
      <c r="W28" s="6"/>
      <c r="X28" s="6"/>
      <c r="Y28" s="6"/>
      <c r="Z28" s="6"/>
    </row>
    <row r="29">
      <c r="A29" s="11"/>
      <c r="B29" s="2">
        <v>28.0</v>
      </c>
      <c r="C29" s="3" t="s">
        <v>65</v>
      </c>
      <c r="D29" s="13" t="s">
        <v>66</v>
      </c>
      <c r="E29" s="9"/>
      <c r="F29" s="6"/>
      <c r="G29" s="6"/>
      <c r="H29" s="6"/>
      <c r="I29" s="6"/>
      <c r="J29" s="6"/>
      <c r="K29" s="6"/>
      <c r="L29" s="6"/>
      <c r="M29" s="6"/>
      <c r="N29" s="6"/>
      <c r="O29" s="6"/>
      <c r="P29" s="6"/>
      <c r="Q29" s="6"/>
      <c r="R29" s="6"/>
      <c r="S29" s="6"/>
      <c r="T29" s="6"/>
      <c r="U29" s="6"/>
      <c r="V29" s="6"/>
      <c r="W29" s="6"/>
      <c r="X29" s="6"/>
      <c r="Y29" s="6"/>
      <c r="Z29" s="6"/>
    </row>
    <row r="30">
      <c r="A30" s="12"/>
      <c r="B30" s="2">
        <v>29.0</v>
      </c>
      <c r="C30" s="3" t="s">
        <v>67</v>
      </c>
      <c r="D30" s="4" t="s">
        <v>68</v>
      </c>
      <c r="E30" s="9"/>
      <c r="F30" s="6"/>
      <c r="G30" s="6"/>
      <c r="H30" s="6"/>
      <c r="I30" s="6"/>
      <c r="J30" s="6"/>
      <c r="K30" s="6"/>
      <c r="L30" s="6"/>
      <c r="M30" s="6"/>
      <c r="N30" s="6"/>
      <c r="O30" s="6"/>
      <c r="P30" s="6"/>
      <c r="Q30" s="6"/>
      <c r="R30" s="6"/>
      <c r="S30" s="6"/>
      <c r="T30" s="6"/>
      <c r="U30" s="6"/>
      <c r="V30" s="6"/>
      <c r="W30" s="6"/>
      <c r="X30" s="6"/>
      <c r="Y30" s="6"/>
      <c r="Z30" s="6"/>
    </row>
    <row r="31">
      <c r="A31" s="7" t="s">
        <v>69</v>
      </c>
      <c r="B31" s="2">
        <v>30.0</v>
      </c>
      <c r="C31" s="3" t="s">
        <v>70</v>
      </c>
      <c r="D31" s="13" t="s">
        <v>71</v>
      </c>
      <c r="E31" s="9"/>
      <c r="F31" s="6"/>
      <c r="G31" s="6"/>
      <c r="H31" s="6"/>
      <c r="I31" s="6"/>
      <c r="J31" s="6"/>
      <c r="K31" s="6"/>
      <c r="L31" s="6"/>
      <c r="M31" s="6"/>
      <c r="N31" s="6"/>
      <c r="O31" s="6"/>
      <c r="P31" s="6"/>
      <c r="Q31" s="6"/>
      <c r="R31" s="6"/>
      <c r="S31" s="6"/>
      <c r="T31" s="6"/>
      <c r="U31" s="6"/>
      <c r="V31" s="6"/>
      <c r="W31" s="6"/>
      <c r="X31" s="6"/>
      <c r="Y31" s="6"/>
      <c r="Z31" s="6"/>
    </row>
    <row r="32">
      <c r="A32" s="11"/>
      <c r="B32" s="2">
        <v>31.0</v>
      </c>
      <c r="C32" s="3" t="s">
        <v>72</v>
      </c>
      <c r="D32" s="13" t="s">
        <v>73</v>
      </c>
      <c r="E32" s="9"/>
      <c r="F32" s="6"/>
      <c r="G32" s="6"/>
      <c r="H32" s="6"/>
      <c r="I32" s="6"/>
      <c r="J32" s="6"/>
      <c r="K32" s="6"/>
      <c r="L32" s="6"/>
      <c r="M32" s="6"/>
      <c r="N32" s="6"/>
      <c r="O32" s="6"/>
      <c r="P32" s="6"/>
      <c r="Q32" s="6"/>
      <c r="R32" s="6"/>
      <c r="S32" s="6"/>
      <c r="T32" s="6"/>
      <c r="U32" s="6"/>
      <c r="V32" s="6"/>
      <c r="W32" s="6"/>
      <c r="X32" s="6"/>
      <c r="Y32" s="6"/>
      <c r="Z32" s="6"/>
    </row>
    <row r="33">
      <c r="A33" s="12"/>
      <c r="B33" s="2">
        <v>32.0</v>
      </c>
      <c r="C33" s="3" t="s">
        <v>74</v>
      </c>
      <c r="D33" s="18" t="s">
        <v>75</v>
      </c>
      <c r="E33" s="9"/>
      <c r="F33" s="9"/>
      <c r="G33" s="6"/>
      <c r="H33" s="6"/>
      <c r="I33" s="6"/>
      <c r="J33" s="6"/>
      <c r="K33" s="6"/>
      <c r="L33" s="6"/>
      <c r="M33" s="6"/>
      <c r="N33" s="6"/>
      <c r="O33" s="6"/>
      <c r="P33" s="6"/>
      <c r="Q33" s="6"/>
      <c r="R33" s="6"/>
      <c r="S33" s="6"/>
      <c r="T33" s="6"/>
      <c r="U33" s="6"/>
      <c r="V33" s="6"/>
      <c r="W33" s="6"/>
      <c r="X33" s="6"/>
      <c r="Y33" s="6"/>
      <c r="Z33" s="6"/>
    </row>
    <row r="34">
      <c r="A34" s="7" t="s">
        <v>76</v>
      </c>
      <c r="B34" s="2">
        <v>33.0</v>
      </c>
      <c r="C34" s="3" t="s">
        <v>77</v>
      </c>
      <c r="D34" s="4" t="s">
        <v>78</v>
      </c>
      <c r="E34" s="9"/>
      <c r="F34" s="6"/>
      <c r="G34" s="6"/>
      <c r="H34" s="6"/>
      <c r="I34" s="6"/>
      <c r="J34" s="6"/>
      <c r="K34" s="6"/>
      <c r="L34" s="6"/>
      <c r="M34" s="6"/>
      <c r="N34" s="6"/>
      <c r="O34" s="6"/>
      <c r="P34" s="6"/>
      <c r="Q34" s="6"/>
      <c r="R34" s="6"/>
      <c r="S34" s="6"/>
      <c r="T34" s="6"/>
      <c r="U34" s="6"/>
      <c r="V34" s="6"/>
      <c r="W34" s="6"/>
      <c r="X34" s="6"/>
      <c r="Y34" s="6"/>
      <c r="Z34" s="6"/>
    </row>
    <row r="35">
      <c r="A35" s="11"/>
      <c r="B35" s="2">
        <v>34.0</v>
      </c>
      <c r="C35" s="3" t="s">
        <v>79</v>
      </c>
      <c r="D35" s="4" t="s">
        <v>80</v>
      </c>
      <c r="E35" s="9"/>
      <c r="F35" s="6"/>
      <c r="G35" s="6"/>
      <c r="H35" s="6"/>
      <c r="I35" s="6"/>
      <c r="J35" s="6"/>
      <c r="K35" s="6"/>
      <c r="L35" s="6"/>
      <c r="M35" s="6"/>
      <c r="N35" s="6"/>
      <c r="O35" s="6"/>
      <c r="P35" s="6"/>
      <c r="Q35" s="6"/>
      <c r="R35" s="6"/>
      <c r="S35" s="6"/>
      <c r="T35" s="6"/>
      <c r="U35" s="6"/>
      <c r="V35" s="6"/>
      <c r="W35" s="6"/>
      <c r="X35" s="6"/>
      <c r="Y35" s="6"/>
      <c r="Z35" s="6"/>
    </row>
    <row r="36">
      <c r="A36" s="11"/>
      <c r="B36" s="2">
        <v>35.0</v>
      </c>
      <c r="C36" s="3" t="s">
        <v>81</v>
      </c>
      <c r="D36" s="4" t="s">
        <v>82</v>
      </c>
      <c r="E36" s="9"/>
      <c r="F36" s="6"/>
      <c r="G36" s="6"/>
      <c r="H36" s="6"/>
      <c r="I36" s="6"/>
      <c r="J36" s="6"/>
      <c r="K36" s="6"/>
      <c r="L36" s="6"/>
      <c r="M36" s="6"/>
      <c r="N36" s="6"/>
      <c r="O36" s="6"/>
      <c r="P36" s="6"/>
      <c r="Q36" s="6"/>
      <c r="R36" s="6"/>
      <c r="S36" s="6"/>
      <c r="T36" s="6"/>
      <c r="U36" s="6"/>
      <c r="V36" s="6"/>
      <c r="W36" s="6"/>
      <c r="X36" s="6"/>
      <c r="Y36" s="6"/>
      <c r="Z36" s="6"/>
    </row>
    <row r="37">
      <c r="A37" s="11"/>
      <c r="B37" s="2">
        <v>36.0</v>
      </c>
      <c r="C37" s="3" t="s">
        <v>83</v>
      </c>
      <c r="D37" s="4" t="s">
        <v>84</v>
      </c>
      <c r="E37" s="9"/>
      <c r="F37" s="6"/>
      <c r="G37" s="6"/>
      <c r="H37" s="6"/>
      <c r="I37" s="6"/>
      <c r="J37" s="6"/>
      <c r="K37" s="6"/>
      <c r="L37" s="6"/>
      <c r="M37" s="6"/>
      <c r="N37" s="6"/>
      <c r="O37" s="6"/>
      <c r="P37" s="6"/>
      <c r="Q37" s="6"/>
      <c r="R37" s="6"/>
      <c r="S37" s="6"/>
      <c r="T37" s="6"/>
      <c r="U37" s="6"/>
      <c r="V37" s="6"/>
      <c r="W37" s="6"/>
      <c r="X37" s="6"/>
      <c r="Y37" s="6"/>
      <c r="Z37" s="6"/>
    </row>
    <row r="38">
      <c r="A38" s="11"/>
      <c r="B38" s="2">
        <v>37.0</v>
      </c>
      <c r="C38" s="3" t="s">
        <v>85</v>
      </c>
      <c r="D38" s="19" t="s">
        <v>86</v>
      </c>
      <c r="E38" s="9"/>
      <c r="F38" s="6"/>
      <c r="G38" s="6"/>
      <c r="H38" s="6"/>
      <c r="I38" s="6"/>
      <c r="J38" s="6"/>
      <c r="K38" s="6"/>
      <c r="L38" s="6"/>
      <c r="M38" s="6"/>
      <c r="N38" s="6"/>
      <c r="O38" s="6"/>
      <c r="P38" s="6"/>
      <c r="Q38" s="6"/>
      <c r="R38" s="6"/>
      <c r="S38" s="6"/>
      <c r="T38" s="6"/>
      <c r="U38" s="6"/>
      <c r="V38" s="6"/>
      <c r="W38" s="6"/>
      <c r="X38" s="6"/>
      <c r="Y38" s="6"/>
      <c r="Z38" s="6"/>
    </row>
    <row r="39">
      <c r="A39" s="11"/>
      <c r="B39" s="2">
        <v>38.0</v>
      </c>
      <c r="C39" s="3" t="s">
        <v>87</v>
      </c>
      <c r="D39" s="4" t="s">
        <v>88</v>
      </c>
      <c r="E39" s="9"/>
      <c r="F39" s="6"/>
      <c r="G39" s="6"/>
      <c r="H39" s="6"/>
      <c r="I39" s="6"/>
      <c r="J39" s="6"/>
      <c r="K39" s="6"/>
      <c r="L39" s="6"/>
      <c r="M39" s="6"/>
      <c r="N39" s="6"/>
      <c r="O39" s="6"/>
      <c r="P39" s="6"/>
      <c r="Q39" s="6"/>
      <c r="R39" s="6"/>
      <c r="S39" s="6"/>
      <c r="T39" s="6"/>
      <c r="U39" s="6"/>
      <c r="V39" s="6"/>
      <c r="W39" s="6"/>
      <c r="X39" s="6"/>
      <c r="Y39" s="6"/>
      <c r="Z39" s="6"/>
    </row>
    <row r="40">
      <c r="A40" s="12"/>
      <c r="B40" s="2">
        <v>39.0</v>
      </c>
      <c r="C40" s="3" t="s">
        <v>89</v>
      </c>
      <c r="D40" s="4" t="s">
        <v>90</v>
      </c>
      <c r="E40" s="9"/>
      <c r="F40" s="6"/>
      <c r="G40" s="6"/>
      <c r="H40" s="6"/>
      <c r="I40" s="6"/>
      <c r="J40" s="6"/>
      <c r="K40" s="6"/>
      <c r="L40" s="6"/>
      <c r="M40" s="6"/>
      <c r="N40" s="6"/>
      <c r="O40" s="6"/>
      <c r="P40" s="6"/>
      <c r="Q40" s="6"/>
      <c r="R40" s="6"/>
      <c r="S40" s="6"/>
      <c r="T40" s="6"/>
      <c r="U40" s="6"/>
      <c r="V40" s="6"/>
      <c r="W40" s="6"/>
      <c r="X40" s="6"/>
      <c r="Y40" s="6"/>
      <c r="Z40" s="6"/>
    </row>
    <row r="41">
      <c r="A41" s="7" t="s">
        <v>91</v>
      </c>
      <c r="B41" s="2">
        <v>40.0</v>
      </c>
      <c r="C41" s="3" t="s">
        <v>92</v>
      </c>
      <c r="D41" s="4" t="s">
        <v>93</v>
      </c>
      <c r="E41" s="9"/>
      <c r="F41" s="6"/>
      <c r="G41" s="6"/>
      <c r="H41" s="6"/>
      <c r="I41" s="6"/>
      <c r="J41" s="6"/>
      <c r="K41" s="6"/>
      <c r="L41" s="6"/>
      <c r="M41" s="6"/>
      <c r="N41" s="6"/>
      <c r="O41" s="6"/>
      <c r="P41" s="6"/>
      <c r="Q41" s="6"/>
      <c r="R41" s="6"/>
      <c r="S41" s="6"/>
      <c r="T41" s="6"/>
      <c r="U41" s="6"/>
      <c r="V41" s="6"/>
      <c r="W41" s="6"/>
      <c r="X41" s="6"/>
      <c r="Y41" s="6"/>
      <c r="Z41" s="6"/>
    </row>
    <row r="42">
      <c r="A42" s="11"/>
      <c r="B42" s="2">
        <v>41.0</v>
      </c>
      <c r="C42" s="3" t="s">
        <v>94</v>
      </c>
      <c r="D42" s="4" t="s">
        <v>95</v>
      </c>
      <c r="E42" s="9"/>
      <c r="F42" s="6"/>
      <c r="G42" s="6"/>
      <c r="H42" s="6"/>
      <c r="I42" s="6"/>
      <c r="J42" s="6"/>
      <c r="K42" s="6"/>
      <c r="L42" s="6"/>
      <c r="M42" s="6"/>
      <c r="N42" s="6"/>
      <c r="O42" s="6"/>
      <c r="P42" s="6"/>
      <c r="Q42" s="6"/>
      <c r="R42" s="6"/>
      <c r="S42" s="6"/>
      <c r="T42" s="6"/>
      <c r="U42" s="6"/>
      <c r="V42" s="6"/>
      <c r="W42" s="6"/>
      <c r="X42" s="6"/>
      <c r="Y42" s="6"/>
      <c r="Z42" s="6"/>
    </row>
    <row r="43">
      <c r="A43" s="11"/>
      <c r="B43" s="2">
        <v>42.0</v>
      </c>
      <c r="C43" s="3" t="s">
        <v>96</v>
      </c>
      <c r="D43" s="4" t="s">
        <v>97</v>
      </c>
      <c r="E43" s="9"/>
      <c r="F43" s="6"/>
      <c r="G43" s="6"/>
      <c r="H43" s="6"/>
      <c r="I43" s="6"/>
      <c r="J43" s="6"/>
      <c r="K43" s="6"/>
      <c r="L43" s="6"/>
      <c r="M43" s="6"/>
      <c r="N43" s="6"/>
      <c r="O43" s="6"/>
      <c r="P43" s="6"/>
      <c r="Q43" s="6"/>
      <c r="R43" s="6"/>
      <c r="S43" s="6"/>
      <c r="T43" s="6"/>
      <c r="U43" s="6"/>
      <c r="V43" s="6"/>
      <c r="W43" s="6"/>
      <c r="X43" s="6"/>
      <c r="Y43" s="6"/>
      <c r="Z43" s="6"/>
    </row>
    <row r="44">
      <c r="A44" s="11"/>
      <c r="B44" s="2">
        <v>43.0</v>
      </c>
      <c r="C44" s="3" t="s">
        <v>98</v>
      </c>
      <c r="D44" s="4" t="s">
        <v>99</v>
      </c>
      <c r="E44" s="9"/>
      <c r="F44" s="6"/>
      <c r="G44" s="6"/>
      <c r="H44" s="6"/>
      <c r="I44" s="6"/>
      <c r="J44" s="6"/>
      <c r="K44" s="6"/>
      <c r="L44" s="6"/>
      <c r="M44" s="6"/>
      <c r="N44" s="6"/>
      <c r="O44" s="6"/>
      <c r="P44" s="6"/>
      <c r="Q44" s="6"/>
      <c r="R44" s="6"/>
      <c r="S44" s="6"/>
      <c r="T44" s="6"/>
      <c r="U44" s="6"/>
      <c r="V44" s="6"/>
      <c r="W44" s="6"/>
      <c r="X44" s="6"/>
      <c r="Y44" s="6"/>
      <c r="Z44" s="6"/>
    </row>
    <row r="45">
      <c r="A45" s="12"/>
      <c r="B45" s="2">
        <v>44.0</v>
      </c>
      <c r="C45" s="3" t="s">
        <v>100</v>
      </c>
      <c r="D45" s="4" t="s">
        <v>101</v>
      </c>
      <c r="E45" s="9"/>
      <c r="F45" s="6"/>
      <c r="G45" s="6"/>
      <c r="H45" s="6"/>
      <c r="I45" s="6"/>
      <c r="J45" s="6"/>
      <c r="K45" s="6"/>
      <c r="L45" s="6"/>
      <c r="M45" s="6"/>
      <c r="N45" s="6"/>
      <c r="O45" s="6"/>
      <c r="P45" s="6"/>
      <c r="Q45" s="6"/>
      <c r="R45" s="6"/>
      <c r="S45" s="6"/>
      <c r="T45" s="6"/>
      <c r="U45" s="6"/>
      <c r="V45" s="6"/>
      <c r="W45" s="6"/>
      <c r="X45" s="6"/>
      <c r="Y45" s="6"/>
      <c r="Z45" s="6"/>
    </row>
    <row r="46">
      <c r="A46" s="7" t="s">
        <v>102</v>
      </c>
      <c r="B46" s="2">
        <v>45.0</v>
      </c>
      <c r="C46" s="3" t="s">
        <v>103</v>
      </c>
      <c r="D46" s="4" t="s">
        <v>104</v>
      </c>
      <c r="E46" s="9"/>
      <c r="F46" s="6"/>
      <c r="G46" s="6"/>
      <c r="H46" s="6"/>
      <c r="I46" s="6"/>
      <c r="J46" s="6"/>
      <c r="K46" s="6"/>
      <c r="L46" s="6"/>
      <c r="M46" s="6"/>
      <c r="N46" s="6"/>
      <c r="O46" s="6"/>
      <c r="P46" s="6"/>
      <c r="Q46" s="6"/>
      <c r="R46" s="6"/>
      <c r="S46" s="6"/>
      <c r="T46" s="6"/>
      <c r="U46" s="6"/>
      <c r="V46" s="6"/>
      <c r="W46" s="6"/>
      <c r="X46" s="6"/>
      <c r="Y46" s="6"/>
      <c r="Z46" s="6"/>
    </row>
    <row r="47">
      <c r="A47" s="11"/>
      <c r="B47" s="2">
        <v>46.0</v>
      </c>
      <c r="C47" s="16" t="s">
        <v>105</v>
      </c>
      <c r="D47" s="17" t="s">
        <v>106</v>
      </c>
      <c r="E47" s="9"/>
      <c r="F47" s="6"/>
      <c r="G47" s="6"/>
      <c r="H47" s="6"/>
      <c r="I47" s="6"/>
      <c r="J47" s="6"/>
      <c r="K47" s="6"/>
      <c r="L47" s="6"/>
      <c r="M47" s="6"/>
      <c r="N47" s="6"/>
      <c r="O47" s="6"/>
      <c r="P47" s="6"/>
      <c r="Q47" s="6"/>
      <c r="R47" s="6"/>
      <c r="S47" s="6"/>
      <c r="T47" s="6"/>
      <c r="U47" s="6"/>
      <c r="V47" s="6"/>
      <c r="W47" s="6"/>
      <c r="X47" s="6"/>
      <c r="Y47" s="6"/>
      <c r="Z47" s="6"/>
    </row>
    <row r="48">
      <c r="A48" s="12"/>
      <c r="B48" s="2">
        <v>47.0</v>
      </c>
      <c r="C48" s="3" t="s">
        <v>107</v>
      </c>
      <c r="D48" s="4" t="s">
        <v>108</v>
      </c>
      <c r="E48" s="9"/>
      <c r="F48" s="6"/>
      <c r="G48" s="6"/>
      <c r="H48" s="6"/>
      <c r="I48" s="6"/>
      <c r="J48" s="6"/>
      <c r="K48" s="6"/>
      <c r="L48" s="6"/>
      <c r="M48" s="6"/>
      <c r="N48" s="6"/>
      <c r="O48" s="6"/>
      <c r="P48" s="6"/>
      <c r="Q48" s="6"/>
      <c r="R48" s="6"/>
      <c r="S48" s="6"/>
      <c r="T48" s="6"/>
      <c r="U48" s="6"/>
      <c r="V48" s="6"/>
      <c r="W48" s="6"/>
      <c r="X48" s="6"/>
      <c r="Y48" s="6"/>
      <c r="Z48" s="6"/>
    </row>
    <row r="49">
      <c r="A49" s="7" t="s">
        <v>109</v>
      </c>
      <c r="B49" s="2">
        <v>48.0</v>
      </c>
      <c r="C49" s="3" t="s">
        <v>110</v>
      </c>
      <c r="D49" s="4" t="s">
        <v>111</v>
      </c>
      <c r="E49" s="9"/>
      <c r="F49" s="6"/>
      <c r="G49" s="6"/>
      <c r="H49" s="6"/>
      <c r="I49" s="6"/>
      <c r="J49" s="6"/>
      <c r="K49" s="6"/>
      <c r="L49" s="6"/>
      <c r="M49" s="6"/>
      <c r="N49" s="6"/>
      <c r="O49" s="6"/>
      <c r="P49" s="6"/>
      <c r="Q49" s="6"/>
      <c r="R49" s="6"/>
      <c r="S49" s="6"/>
      <c r="T49" s="6"/>
      <c r="U49" s="6"/>
      <c r="V49" s="6"/>
      <c r="W49" s="6"/>
      <c r="X49" s="6"/>
      <c r="Y49" s="6"/>
      <c r="Z49" s="6"/>
    </row>
    <row r="50">
      <c r="A50" s="11"/>
      <c r="B50" s="2">
        <v>49.0</v>
      </c>
      <c r="C50" s="3" t="s">
        <v>112</v>
      </c>
      <c r="D50" s="4" t="s">
        <v>113</v>
      </c>
      <c r="E50" s="9"/>
      <c r="F50" s="6"/>
      <c r="G50" s="6"/>
      <c r="H50" s="6"/>
      <c r="I50" s="6"/>
      <c r="J50" s="6"/>
      <c r="K50" s="6"/>
      <c r="L50" s="6"/>
      <c r="M50" s="6"/>
      <c r="N50" s="6"/>
      <c r="O50" s="6"/>
      <c r="P50" s="6"/>
      <c r="Q50" s="6"/>
      <c r="R50" s="6"/>
      <c r="S50" s="6"/>
      <c r="T50" s="6"/>
      <c r="U50" s="6"/>
      <c r="V50" s="6"/>
      <c r="W50" s="6"/>
      <c r="X50" s="6"/>
      <c r="Y50" s="6"/>
      <c r="Z50" s="6"/>
    </row>
    <row r="51">
      <c r="A51" s="11"/>
      <c r="B51" s="2">
        <v>50.0</v>
      </c>
      <c r="C51" s="3" t="s">
        <v>114</v>
      </c>
      <c r="D51" s="4" t="s">
        <v>115</v>
      </c>
      <c r="E51" s="9"/>
      <c r="F51" s="6"/>
      <c r="G51" s="6"/>
      <c r="H51" s="6"/>
      <c r="I51" s="6"/>
      <c r="J51" s="6"/>
      <c r="K51" s="6"/>
      <c r="L51" s="6"/>
      <c r="M51" s="6"/>
      <c r="N51" s="6"/>
      <c r="O51" s="6"/>
      <c r="P51" s="6"/>
      <c r="Q51" s="6"/>
      <c r="R51" s="6"/>
      <c r="S51" s="6"/>
      <c r="T51" s="6"/>
      <c r="U51" s="6"/>
      <c r="V51" s="6"/>
      <c r="W51" s="6"/>
      <c r="X51" s="6"/>
      <c r="Y51" s="6"/>
      <c r="Z51" s="6"/>
    </row>
    <row r="52">
      <c r="A52" s="12"/>
      <c r="B52" s="2">
        <v>51.0</v>
      </c>
      <c r="C52" s="3" t="s">
        <v>116</v>
      </c>
      <c r="D52" s="4" t="s">
        <v>117</v>
      </c>
      <c r="E52" s="9"/>
      <c r="F52" s="6"/>
      <c r="G52" s="6"/>
      <c r="H52" s="6"/>
      <c r="I52" s="6"/>
      <c r="J52" s="6"/>
      <c r="K52" s="6"/>
      <c r="L52" s="6"/>
      <c r="M52" s="6"/>
      <c r="N52" s="6"/>
      <c r="O52" s="6"/>
      <c r="P52" s="6"/>
      <c r="Q52" s="6"/>
      <c r="R52" s="6"/>
      <c r="S52" s="6"/>
      <c r="T52" s="6"/>
      <c r="U52" s="6"/>
      <c r="V52" s="6"/>
      <c r="W52" s="6"/>
      <c r="X52" s="6"/>
      <c r="Y52" s="6"/>
      <c r="Z52" s="6"/>
    </row>
    <row r="53">
      <c r="A53" s="9"/>
      <c r="B53" s="9"/>
      <c r="C53" s="9"/>
      <c r="D53" s="6"/>
      <c r="E53" s="9"/>
      <c r="F53" s="6"/>
      <c r="G53" s="6"/>
      <c r="H53" s="6"/>
      <c r="I53" s="6"/>
      <c r="J53" s="6"/>
      <c r="K53" s="6"/>
      <c r="L53" s="6"/>
      <c r="M53" s="6"/>
      <c r="N53" s="6"/>
      <c r="O53" s="6"/>
      <c r="P53" s="6"/>
      <c r="Q53" s="6"/>
      <c r="R53" s="6"/>
      <c r="S53" s="6"/>
      <c r="T53" s="6"/>
      <c r="U53" s="6"/>
      <c r="V53" s="6"/>
      <c r="W53" s="6"/>
      <c r="X53" s="6"/>
      <c r="Y53" s="6"/>
      <c r="Z53" s="6"/>
    </row>
    <row r="54">
      <c r="A54" s="9"/>
      <c r="B54" s="9"/>
      <c r="C54" s="9"/>
      <c r="D54" s="6"/>
      <c r="E54" s="9"/>
      <c r="F54" s="6"/>
      <c r="G54" s="6"/>
      <c r="H54" s="6"/>
      <c r="I54" s="6"/>
      <c r="J54" s="6"/>
      <c r="K54" s="6"/>
      <c r="L54" s="6"/>
      <c r="M54" s="6"/>
      <c r="N54" s="6"/>
      <c r="O54" s="6"/>
      <c r="P54" s="6"/>
      <c r="Q54" s="6"/>
      <c r="R54" s="6"/>
      <c r="S54" s="6"/>
      <c r="T54" s="6"/>
      <c r="U54" s="6"/>
      <c r="V54" s="6"/>
      <c r="W54" s="6"/>
      <c r="X54" s="6"/>
      <c r="Y54" s="6"/>
      <c r="Z54" s="6"/>
    </row>
    <row r="55">
      <c r="A55" s="9"/>
      <c r="B55" s="9"/>
      <c r="C55" s="9"/>
      <c r="D55" s="6"/>
      <c r="E55" s="9"/>
      <c r="F55" s="6"/>
      <c r="G55" s="6"/>
      <c r="H55" s="6"/>
      <c r="I55" s="6"/>
      <c r="J55" s="6"/>
      <c r="K55" s="6"/>
      <c r="L55" s="6"/>
      <c r="M55" s="6"/>
      <c r="N55" s="6"/>
      <c r="O55" s="6"/>
      <c r="P55" s="6"/>
      <c r="Q55" s="6"/>
      <c r="R55" s="6"/>
      <c r="S55" s="6"/>
      <c r="T55" s="6"/>
      <c r="U55" s="6"/>
      <c r="V55" s="6"/>
      <c r="W55" s="6"/>
      <c r="X55" s="6"/>
      <c r="Y55" s="6"/>
      <c r="Z55" s="6"/>
    </row>
    <row r="56">
      <c r="A56" s="9"/>
      <c r="B56" s="9"/>
      <c r="C56" s="9"/>
      <c r="D56" s="6"/>
      <c r="E56" s="9"/>
      <c r="F56" s="6"/>
      <c r="G56" s="6"/>
      <c r="H56" s="6"/>
      <c r="I56" s="6"/>
      <c r="J56" s="6"/>
      <c r="K56" s="6"/>
      <c r="L56" s="6"/>
      <c r="M56" s="6"/>
      <c r="N56" s="6"/>
      <c r="O56" s="6"/>
      <c r="P56" s="6"/>
      <c r="Q56" s="6"/>
      <c r="R56" s="6"/>
      <c r="S56" s="6"/>
      <c r="T56" s="6"/>
      <c r="U56" s="6"/>
      <c r="V56" s="6"/>
      <c r="W56" s="6"/>
      <c r="X56" s="6"/>
      <c r="Y56" s="6"/>
      <c r="Z56" s="6"/>
    </row>
    <row r="57">
      <c r="A57" s="9"/>
      <c r="B57" s="9"/>
      <c r="C57" s="9"/>
      <c r="D57" s="6"/>
      <c r="E57" s="9"/>
      <c r="F57" s="6"/>
      <c r="G57" s="6"/>
      <c r="H57" s="6"/>
      <c r="I57" s="6"/>
      <c r="J57" s="6"/>
      <c r="K57" s="6"/>
      <c r="L57" s="6"/>
      <c r="M57" s="6"/>
      <c r="N57" s="6"/>
      <c r="O57" s="6"/>
      <c r="P57" s="6"/>
      <c r="Q57" s="6"/>
      <c r="R57" s="6"/>
      <c r="S57" s="6"/>
      <c r="T57" s="6"/>
      <c r="U57" s="6"/>
      <c r="V57" s="6"/>
      <c r="W57" s="6"/>
      <c r="X57" s="6"/>
      <c r="Y57" s="6"/>
      <c r="Z57" s="6"/>
    </row>
    <row r="58">
      <c r="A58" s="9"/>
      <c r="B58" s="9"/>
      <c r="C58" s="9"/>
      <c r="D58" s="6"/>
      <c r="E58" s="9"/>
      <c r="F58" s="6"/>
      <c r="G58" s="6"/>
      <c r="H58" s="6"/>
      <c r="I58" s="6"/>
      <c r="J58" s="6"/>
      <c r="K58" s="6"/>
      <c r="L58" s="6"/>
      <c r="M58" s="6"/>
      <c r="N58" s="6"/>
      <c r="O58" s="6"/>
      <c r="P58" s="6"/>
      <c r="Q58" s="6"/>
      <c r="R58" s="6"/>
      <c r="S58" s="6"/>
      <c r="T58" s="6"/>
      <c r="U58" s="6"/>
      <c r="V58" s="6"/>
      <c r="W58" s="6"/>
      <c r="X58" s="6"/>
      <c r="Y58" s="6"/>
      <c r="Z58" s="6"/>
    </row>
    <row r="59">
      <c r="A59" s="9"/>
      <c r="B59" s="9"/>
      <c r="C59" s="9"/>
      <c r="D59" s="6"/>
      <c r="E59" s="9"/>
      <c r="F59" s="6"/>
      <c r="G59" s="6"/>
      <c r="H59" s="6"/>
      <c r="I59" s="6"/>
      <c r="J59" s="6"/>
      <c r="K59" s="6"/>
      <c r="L59" s="6"/>
      <c r="M59" s="6"/>
      <c r="N59" s="6"/>
      <c r="O59" s="6"/>
      <c r="P59" s="6"/>
      <c r="Q59" s="6"/>
      <c r="R59" s="6"/>
      <c r="S59" s="6"/>
      <c r="T59" s="6"/>
      <c r="U59" s="6"/>
      <c r="V59" s="6"/>
      <c r="W59" s="6"/>
      <c r="X59" s="6"/>
      <c r="Y59" s="6"/>
      <c r="Z59" s="6"/>
    </row>
    <row r="60">
      <c r="A60" s="9"/>
      <c r="B60" s="9"/>
      <c r="C60" s="9"/>
      <c r="D60" s="6"/>
      <c r="E60" s="9"/>
      <c r="F60" s="6"/>
      <c r="G60" s="6"/>
      <c r="H60" s="6"/>
      <c r="I60" s="6"/>
      <c r="J60" s="6"/>
      <c r="K60" s="6"/>
      <c r="L60" s="6"/>
      <c r="M60" s="6"/>
      <c r="N60" s="6"/>
      <c r="O60" s="6"/>
      <c r="P60" s="6"/>
      <c r="Q60" s="6"/>
      <c r="R60" s="6"/>
      <c r="S60" s="6"/>
      <c r="T60" s="6"/>
      <c r="U60" s="6"/>
      <c r="V60" s="6"/>
      <c r="W60" s="6"/>
      <c r="X60" s="6"/>
      <c r="Y60" s="6"/>
      <c r="Z60" s="6"/>
    </row>
    <row r="61">
      <c r="A61" s="9"/>
      <c r="B61" s="9"/>
      <c r="C61" s="9"/>
      <c r="D61" s="6"/>
      <c r="E61" s="9"/>
      <c r="F61" s="6"/>
      <c r="G61" s="6"/>
      <c r="H61" s="6"/>
      <c r="I61" s="6"/>
      <c r="J61" s="6"/>
      <c r="K61" s="6"/>
      <c r="L61" s="6"/>
      <c r="M61" s="6"/>
      <c r="N61" s="6"/>
      <c r="O61" s="6"/>
      <c r="P61" s="6"/>
      <c r="Q61" s="6"/>
      <c r="R61" s="6"/>
      <c r="S61" s="6"/>
      <c r="T61" s="6"/>
      <c r="U61" s="6"/>
      <c r="V61" s="6"/>
      <c r="W61" s="6"/>
      <c r="X61" s="6"/>
      <c r="Y61" s="6"/>
      <c r="Z61" s="6"/>
    </row>
    <row r="62">
      <c r="A62" s="9"/>
      <c r="B62" s="9"/>
      <c r="C62" s="9"/>
      <c r="D62" s="6"/>
      <c r="E62" s="9"/>
      <c r="F62" s="6"/>
      <c r="G62" s="6"/>
      <c r="H62" s="6"/>
      <c r="I62" s="6"/>
      <c r="J62" s="6"/>
      <c r="K62" s="6"/>
      <c r="L62" s="6"/>
      <c r="M62" s="6"/>
      <c r="N62" s="6"/>
      <c r="O62" s="6"/>
      <c r="P62" s="6"/>
      <c r="Q62" s="6"/>
      <c r="R62" s="6"/>
      <c r="S62" s="6"/>
      <c r="T62" s="6"/>
      <c r="U62" s="6"/>
      <c r="V62" s="6"/>
      <c r="W62" s="6"/>
      <c r="X62" s="6"/>
      <c r="Y62" s="6"/>
      <c r="Z62" s="6"/>
    </row>
    <row r="63">
      <c r="A63" s="9"/>
      <c r="B63" s="9"/>
      <c r="C63" s="9"/>
      <c r="D63" s="6"/>
      <c r="E63" s="9"/>
      <c r="F63" s="6"/>
      <c r="G63" s="6"/>
      <c r="H63" s="6"/>
      <c r="I63" s="6"/>
      <c r="J63" s="6"/>
      <c r="K63" s="6"/>
      <c r="L63" s="6"/>
      <c r="M63" s="6"/>
      <c r="N63" s="6"/>
      <c r="O63" s="6"/>
      <c r="P63" s="6"/>
      <c r="Q63" s="6"/>
      <c r="R63" s="6"/>
      <c r="S63" s="6"/>
      <c r="T63" s="6"/>
      <c r="U63" s="6"/>
      <c r="V63" s="6"/>
      <c r="W63" s="6"/>
      <c r="X63" s="6"/>
      <c r="Y63" s="6"/>
      <c r="Z63" s="6"/>
    </row>
    <row r="64">
      <c r="A64" s="9"/>
      <c r="B64" s="9"/>
      <c r="C64" s="9"/>
      <c r="D64" s="6"/>
      <c r="E64" s="9"/>
      <c r="F64" s="6"/>
      <c r="G64" s="6"/>
      <c r="H64" s="6"/>
      <c r="I64" s="6"/>
      <c r="J64" s="6"/>
      <c r="K64" s="6"/>
      <c r="L64" s="6"/>
      <c r="M64" s="6"/>
      <c r="N64" s="6"/>
      <c r="O64" s="6"/>
      <c r="P64" s="6"/>
      <c r="Q64" s="6"/>
      <c r="R64" s="6"/>
      <c r="S64" s="6"/>
      <c r="T64" s="6"/>
      <c r="U64" s="6"/>
      <c r="V64" s="6"/>
      <c r="W64" s="6"/>
      <c r="X64" s="6"/>
      <c r="Y64" s="6"/>
      <c r="Z64" s="6"/>
    </row>
    <row r="65">
      <c r="A65" s="9"/>
      <c r="B65" s="9"/>
      <c r="C65" s="9"/>
      <c r="D65" s="6"/>
      <c r="E65" s="9"/>
      <c r="F65" s="6"/>
      <c r="G65" s="6"/>
      <c r="H65" s="6"/>
      <c r="I65" s="6"/>
      <c r="J65" s="6"/>
      <c r="K65" s="6"/>
      <c r="L65" s="6"/>
      <c r="M65" s="6"/>
      <c r="N65" s="6"/>
      <c r="O65" s="6"/>
      <c r="P65" s="6"/>
      <c r="Q65" s="6"/>
      <c r="R65" s="6"/>
      <c r="S65" s="6"/>
      <c r="T65" s="6"/>
      <c r="U65" s="6"/>
      <c r="V65" s="6"/>
      <c r="W65" s="6"/>
      <c r="X65" s="6"/>
      <c r="Y65" s="6"/>
      <c r="Z65" s="6"/>
    </row>
    <row r="66">
      <c r="A66" s="9"/>
      <c r="B66" s="9"/>
      <c r="C66" s="9"/>
      <c r="D66" s="6"/>
      <c r="E66" s="9"/>
      <c r="F66" s="6"/>
      <c r="G66" s="6"/>
      <c r="H66" s="6"/>
      <c r="I66" s="6"/>
      <c r="J66" s="6"/>
      <c r="K66" s="6"/>
      <c r="L66" s="6"/>
      <c r="M66" s="6"/>
      <c r="N66" s="6"/>
      <c r="O66" s="6"/>
      <c r="P66" s="6"/>
      <c r="Q66" s="6"/>
      <c r="R66" s="6"/>
      <c r="S66" s="6"/>
      <c r="T66" s="6"/>
      <c r="U66" s="6"/>
      <c r="V66" s="6"/>
      <c r="W66" s="6"/>
      <c r="X66" s="6"/>
      <c r="Y66" s="6"/>
      <c r="Z66" s="6"/>
    </row>
    <row r="67">
      <c r="A67" s="9"/>
      <c r="B67" s="9"/>
      <c r="C67" s="9"/>
      <c r="D67" s="6"/>
      <c r="E67" s="9"/>
      <c r="F67" s="6"/>
      <c r="G67" s="6"/>
      <c r="H67" s="6"/>
      <c r="I67" s="6"/>
      <c r="J67" s="6"/>
      <c r="K67" s="6"/>
      <c r="L67" s="6"/>
      <c r="M67" s="6"/>
      <c r="N67" s="6"/>
      <c r="O67" s="6"/>
      <c r="P67" s="6"/>
      <c r="Q67" s="6"/>
      <c r="R67" s="6"/>
      <c r="S67" s="6"/>
      <c r="T67" s="6"/>
      <c r="U67" s="6"/>
      <c r="V67" s="6"/>
      <c r="W67" s="6"/>
      <c r="X67" s="6"/>
      <c r="Y67" s="6"/>
      <c r="Z67" s="6"/>
    </row>
    <row r="68">
      <c r="A68" s="9"/>
      <c r="B68" s="9"/>
      <c r="C68" s="9"/>
      <c r="D68" s="6"/>
      <c r="E68" s="9"/>
      <c r="F68" s="6"/>
      <c r="G68" s="6"/>
      <c r="H68" s="6"/>
      <c r="I68" s="6"/>
      <c r="J68" s="6"/>
      <c r="K68" s="6"/>
      <c r="L68" s="6"/>
      <c r="M68" s="6"/>
      <c r="N68" s="6"/>
      <c r="O68" s="6"/>
      <c r="P68" s="6"/>
      <c r="Q68" s="6"/>
      <c r="R68" s="6"/>
      <c r="S68" s="6"/>
      <c r="T68" s="6"/>
      <c r="U68" s="6"/>
      <c r="V68" s="6"/>
      <c r="W68" s="6"/>
      <c r="X68" s="6"/>
      <c r="Y68" s="6"/>
      <c r="Z68" s="6"/>
    </row>
    <row r="69">
      <c r="A69" s="9"/>
      <c r="B69" s="9"/>
      <c r="C69" s="9"/>
      <c r="D69" s="6"/>
      <c r="E69" s="9"/>
      <c r="F69" s="6"/>
      <c r="G69" s="6"/>
      <c r="H69" s="6"/>
      <c r="I69" s="6"/>
      <c r="J69" s="6"/>
      <c r="K69" s="6"/>
      <c r="L69" s="6"/>
      <c r="M69" s="6"/>
      <c r="N69" s="6"/>
      <c r="O69" s="6"/>
      <c r="P69" s="6"/>
      <c r="Q69" s="6"/>
      <c r="R69" s="6"/>
      <c r="S69" s="6"/>
      <c r="T69" s="6"/>
      <c r="U69" s="6"/>
      <c r="V69" s="6"/>
      <c r="W69" s="6"/>
      <c r="X69" s="6"/>
      <c r="Y69" s="6"/>
      <c r="Z69" s="6"/>
    </row>
    <row r="70">
      <c r="A70" s="9"/>
      <c r="B70" s="9"/>
      <c r="C70" s="9"/>
      <c r="D70" s="6"/>
      <c r="E70" s="9"/>
      <c r="F70" s="6"/>
      <c r="G70" s="6"/>
      <c r="H70" s="6"/>
      <c r="I70" s="6"/>
      <c r="J70" s="6"/>
      <c r="K70" s="6"/>
      <c r="L70" s="6"/>
      <c r="M70" s="6"/>
      <c r="N70" s="6"/>
      <c r="O70" s="6"/>
      <c r="P70" s="6"/>
      <c r="Q70" s="6"/>
      <c r="R70" s="6"/>
      <c r="S70" s="6"/>
      <c r="T70" s="6"/>
      <c r="U70" s="6"/>
      <c r="V70" s="6"/>
      <c r="W70" s="6"/>
      <c r="X70" s="6"/>
      <c r="Y70" s="6"/>
      <c r="Z70" s="6"/>
    </row>
    <row r="71">
      <c r="A71" s="9"/>
      <c r="B71" s="9"/>
      <c r="C71" s="9"/>
      <c r="D71" s="6"/>
      <c r="E71" s="9"/>
      <c r="F71" s="6"/>
      <c r="G71" s="6"/>
      <c r="H71" s="6"/>
      <c r="I71" s="6"/>
      <c r="J71" s="6"/>
      <c r="K71" s="6"/>
      <c r="L71" s="6"/>
      <c r="M71" s="6"/>
      <c r="N71" s="6"/>
      <c r="O71" s="6"/>
      <c r="P71" s="6"/>
      <c r="Q71" s="6"/>
      <c r="R71" s="6"/>
      <c r="S71" s="6"/>
      <c r="T71" s="6"/>
      <c r="U71" s="6"/>
      <c r="V71" s="6"/>
      <c r="W71" s="6"/>
      <c r="X71" s="6"/>
      <c r="Y71" s="6"/>
      <c r="Z71" s="6"/>
    </row>
    <row r="72">
      <c r="A72" s="9"/>
      <c r="B72" s="9"/>
      <c r="C72" s="9"/>
      <c r="D72" s="6"/>
      <c r="E72" s="9"/>
      <c r="F72" s="6"/>
      <c r="G72" s="6"/>
      <c r="H72" s="6"/>
      <c r="I72" s="6"/>
      <c r="J72" s="6"/>
      <c r="K72" s="6"/>
      <c r="L72" s="6"/>
      <c r="M72" s="6"/>
      <c r="N72" s="6"/>
      <c r="O72" s="6"/>
      <c r="P72" s="6"/>
      <c r="Q72" s="6"/>
      <c r="R72" s="6"/>
      <c r="S72" s="6"/>
      <c r="T72" s="6"/>
      <c r="U72" s="6"/>
      <c r="V72" s="6"/>
      <c r="W72" s="6"/>
      <c r="X72" s="6"/>
      <c r="Y72" s="6"/>
      <c r="Z72" s="6"/>
    </row>
    <row r="73">
      <c r="A73" s="9"/>
      <c r="B73" s="9"/>
      <c r="C73" s="9"/>
      <c r="D73" s="6"/>
      <c r="E73" s="9"/>
      <c r="F73" s="6"/>
      <c r="G73" s="6"/>
      <c r="H73" s="6"/>
      <c r="I73" s="6"/>
      <c r="J73" s="6"/>
      <c r="K73" s="6"/>
      <c r="L73" s="6"/>
      <c r="M73" s="6"/>
      <c r="N73" s="6"/>
      <c r="O73" s="6"/>
      <c r="P73" s="6"/>
      <c r="Q73" s="6"/>
      <c r="R73" s="6"/>
      <c r="S73" s="6"/>
      <c r="T73" s="6"/>
      <c r="U73" s="6"/>
      <c r="V73" s="6"/>
      <c r="W73" s="6"/>
      <c r="X73" s="6"/>
      <c r="Y73" s="6"/>
      <c r="Z73" s="6"/>
    </row>
    <row r="74">
      <c r="A74" s="9"/>
      <c r="B74" s="9"/>
      <c r="C74" s="9"/>
      <c r="D74" s="6"/>
      <c r="E74" s="9"/>
      <c r="F74" s="6"/>
      <c r="G74" s="6"/>
      <c r="H74" s="6"/>
      <c r="I74" s="6"/>
      <c r="J74" s="6"/>
      <c r="K74" s="6"/>
      <c r="L74" s="6"/>
      <c r="M74" s="6"/>
      <c r="N74" s="6"/>
      <c r="O74" s="6"/>
      <c r="P74" s="6"/>
      <c r="Q74" s="6"/>
      <c r="R74" s="6"/>
      <c r="S74" s="6"/>
      <c r="T74" s="6"/>
      <c r="U74" s="6"/>
      <c r="V74" s="6"/>
      <c r="W74" s="6"/>
      <c r="X74" s="6"/>
      <c r="Y74" s="6"/>
      <c r="Z74" s="6"/>
    </row>
    <row r="75">
      <c r="A75" s="9"/>
      <c r="B75" s="9"/>
      <c r="C75" s="9"/>
      <c r="D75" s="6"/>
      <c r="E75" s="9"/>
      <c r="F75" s="6"/>
      <c r="G75" s="6"/>
      <c r="H75" s="6"/>
      <c r="I75" s="6"/>
      <c r="J75" s="6"/>
      <c r="K75" s="6"/>
      <c r="L75" s="6"/>
      <c r="M75" s="6"/>
      <c r="N75" s="6"/>
      <c r="O75" s="6"/>
      <c r="P75" s="6"/>
      <c r="Q75" s="6"/>
      <c r="R75" s="6"/>
      <c r="S75" s="6"/>
      <c r="T75" s="6"/>
      <c r="U75" s="6"/>
      <c r="V75" s="6"/>
      <c r="W75" s="6"/>
      <c r="X75" s="6"/>
      <c r="Y75" s="6"/>
      <c r="Z75" s="6"/>
    </row>
    <row r="76">
      <c r="A76" s="9"/>
      <c r="B76" s="9"/>
      <c r="C76" s="9"/>
      <c r="D76" s="6"/>
      <c r="E76" s="9"/>
      <c r="F76" s="6"/>
      <c r="G76" s="6"/>
      <c r="H76" s="6"/>
      <c r="I76" s="6"/>
      <c r="J76" s="6"/>
      <c r="K76" s="6"/>
      <c r="L76" s="6"/>
      <c r="M76" s="6"/>
      <c r="N76" s="6"/>
      <c r="O76" s="6"/>
      <c r="P76" s="6"/>
      <c r="Q76" s="6"/>
      <c r="R76" s="6"/>
      <c r="S76" s="6"/>
      <c r="T76" s="6"/>
      <c r="U76" s="6"/>
      <c r="V76" s="6"/>
      <c r="W76" s="6"/>
      <c r="X76" s="6"/>
      <c r="Y76" s="6"/>
      <c r="Z76" s="6"/>
    </row>
    <row r="77">
      <c r="A77" s="9"/>
      <c r="B77" s="9"/>
      <c r="C77" s="9"/>
      <c r="D77" s="6"/>
      <c r="E77" s="9"/>
      <c r="F77" s="6"/>
      <c r="G77" s="6"/>
      <c r="H77" s="6"/>
      <c r="I77" s="6"/>
      <c r="J77" s="6"/>
      <c r="K77" s="6"/>
      <c r="L77" s="6"/>
      <c r="M77" s="6"/>
      <c r="N77" s="6"/>
      <c r="O77" s="6"/>
      <c r="P77" s="6"/>
      <c r="Q77" s="6"/>
      <c r="R77" s="6"/>
      <c r="S77" s="6"/>
      <c r="T77" s="6"/>
      <c r="U77" s="6"/>
      <c r="V77" s="6"/>
      <c r="W77" s="6"/>
      <c r="X77" s="6"/>
      <c r="Y77" s="6"/>
      <c r="Z77" s="6"/>
    </row>
    <row r="78">
      <c r="A78" s="9"/>
      <c r="B78" s="9"/>
      <c r="C78" s="9"/>
      <c r="D78" s="6"/>
      <c r="E78" s="9"/>
      <c r="F78" s="6"/>
      <c r="G78" s="6"/>
      <c r="H78" s="6"/>
      <c r="I78" s="6"/>
      <c r="J78" s="6"/>
      <c r="K78" s="6"/>
      <c r="L78" s="6"/>
      <c r="M78" s="6"/>
      <c r="N78" s="6"/>
      <c r="O78" s="6"/>
      <c r="P78" s="6"/>
      <c r="Q78" s="6"/>
      <c r="R78" s="6"/>
      <c r="S78" s="6"/>
      <c r="T78" s="6"/>
      <c r="U78" s="6"/>
      <c r="V78" s="6"/>
      <c r="W78" s="6"/>
      <c r="X78" s="6"/>
      <c r="Y78" s="6"/>
      <c r="Z78" s="6"/>
    </row>
    <row r="79">
      <c r="A79" s="9"/>
      <c r="B79" s="9"/>
      <c r="C79" s="9"/>
      <c r="D79" s="6"/>
      <c r="E79" s="9"/>
      <c r="F79" s="6"/>
      <c r="G79" s="6"/>
      <c r="H79" s="6"/>
      <c r="I79" s="6"/>
      <c r="J79" s="6"/>
      <c r="K79" s="6"/>
      <c r="L79" s="6"/>
      <c r="M79" s="6"/>
      <c r="N79" s="6"/>
      <c r="O79" s="6"/>
      <c r="P79" s="6"/>
      <c r="Q79" s="6"/>
      <c r="R79" s="6"/>
      <c r="S79" s="6"/>
      <c r="T79" s="6"/>
      <c r="U79" s="6"/>
      <c r="V79" s="6"/>
      <c r="W79" s="6"/>
      <c r="X79" s="6"/>
      <c r="Y79" s="6"/>
      <c r="Z79" s="6"/>
    </row>
    <row r="80">
      <c r="A80" s="9"/>
      <c r="B80" s="9"/>
      <c r="C80" s="9"/>
      <c r="D80" s="6"/>
      <c r="E80" s="9"/>
      <c r="F80" s="6"/>
      <c r="G80" s="6"/>
      <c r="H80" s="6"/>
      <c r="I80" s="6"/>
      <c r="J80" s="6"/>
      <c r="K80" s="6"/>
      <c r="L80" s="6"/>
      <c r="M80" s="6"/>
      <c r="N80" s="6"/>
      <c r="O80" s="6"/>
      <c r="P80" s="6"/>
      <c r="Q80" s="6"/>
      <c r="R80" s="6"/>
      <c r="S80" s="6"/>
      <c r="T80" s="6"/>
      <c r="U80" s="6"/>
      <c r="V80" s="6"/>
      <c r="W80" s="6"/>
      <c r="X80" s="6"/>
      <c r="Y80" s="6"/>
      <c r="Z80" s="6"/>
    </row>
    <row r="81">
      <c r="A81" s="9"/>
      <c r="B81" s="9"/>
      <c r="C81" s="9"/>
      <c r="D81" s="6"/>
      <c r="E81" s="9"/>
      <c r="F81" s="6"/>
      <c r="G81" s="6"/>
      <c r="H81" s="6"/>
      <c r="I81" s="6"/>
      <c r="J81" s="6"/>
      <c r="K81" s="6"/>
      <c r="L81" s="6"/>
      <c r="M81" s="6"/>
      <c r="N81" s="6"/>
      <c r="O81" s="6"/>
      <c r="P81" s="6"/>
      <c r="Q81" s="6"/>
      <c r="R81" s="6"/>
      <c r="S81" s="6"/>
      <c r="T81" s="6"/>
      <c r="U81" s="6"/>
      <c r="V81" s="6"/>
      <c r="W81" s="6"/>
      <c r="X81" s="6"/>
      <c r="Y81" s="6"/>
      <c r="Z81" s="6"/>
    </row>
    <row r="82">
      <c r="A82" s="9"/>
      <c r="B82" s="9"/>
      <c r="C82" s="9"/>
      <c r="D82" s="6"/>
      <c r="E82" s="9"/>
      <c r="F82" s="6"/>
      <c r="G82" s="6"/>
      <c r="H82" s="6"/>
      <c r="I82" s="6"/>
      <c r="J82" s="6"/>
      <c r="K82" s="6"/>
      <c r="L82" s="6"/>
      <c r="M82" s="6"/>
      <c r="N82" s="6"/>
      <c r="O82" s="6"/>
      <c r="P82" s="6"/>
      <c r="Q82" s="6"/>
      <c r="R82" s="6"/>
      <c r="S82" s="6"/>
      <c r="T82" s="6"/>
      <c r="U82" s="6"/>
      <c r="V82" s="6"/>
      <c r="W82" s="6"/>
      <c r="X82" s="6"/>
      <c r="Y82" s="6"/>
      <c r="Z82" s="6"/>
    </row>
    <row r="83">
      <c r="A83" s="9"/>
      <c r="B83" s="9"/>
      <c r="C83" s="9"/>
      <c r="D83" s="6"/>
      <c r="E83" s="9"/>
      <c r="F83" s="6"/>
      <c r="G83" s="6"/>
      <c r="H83" s="6"/>
      <c r="I83" s="6"/>
      <c r="J83" s="6"/>
      <c r="K83" s="6"/>
      <c r="L83" s="6"/>
      <c r="M83" s="6"/>
      <c r="N83" s="6"/>
      <c r="O83" s="6"/>
      <c r="P83" s="6"/>
      <c r="Q83" s="6"/>
      <c r="R83" s="6"/>
      <c r="S83" s="6"/>
      <c r="T83" s="6"/>
      <c r="U83" s="6"/>
      <c r="V83" s="6"/>
      <c r="W83" s="6"/>
      <c r="X83" s="6"/>
      <c r="Y83" s="6"/>
      <c r="Z83" s="6"/>
    </row>
    <row r="84">
      <c r="A84" s="9"/>
      <c r="B84" s="9"/>
      <c r="C84" s="9"/>
      <c r="D84" s="6"/>
      <c r="E84" s="9"/>
      <c r="F84" s="6"/>
      <c r="G84" s="6"/>
      <c r="H84" s="6"/>
      <c r="I84" s="6"/>
      <c r="J84" s="6"/>
      <c r="K84" s="6"/>
      <c r="L84" s="6"/>
      <c r="M84" s="6"/>
      <c r="N84" s="6"/>
      <c r="O84" s="6"/>
      <c r="P84" s="6"/>
      <c r="Q84" s="6"/>
      <c r="R84" s="6"/>
      <c r="S84" s="6"/>
      <c r="T84" s="6"/>
      <c r="U84" s="6"/>
      <c r="V84" s="6"/>
      <c r="W84" s="6"/>
      <c r="X84" s="6"/>
      <c r="Y84" s="6"/>
      <c r="Z84" s="6"/>
    </row>
    <row r="85">
      <c r="A85" s="9"/>
      <c r="B85" s="9"/>
      <c r="C85" s="9"/>
      <c r="D85" s="6"/>
      <c r="E85" s="9"/>
      <c r="F85" s="6"/>
      <c r="G85" s="6"/>
      <c r="H85" s="6"/>
      <c r="I85" s="6"/>
      <c r="J85" s="6"/>
      <c r="K85" s="6"/>
      <c r="L85" s="6"/>
      <c r="M85" s="6"/>
      <c r="N85" s="6"/>
      <c r="O85" s="6"/>
      <c r="P85" s="6"/>
      <c r="Q85" s="6"/>
      <c r="R85" s="6"/>
      <c r="S85" s="6"/>
      <c r="T85" s="6"/>
      <c r="U85" s="6"/>
      <c r="V85" s="6"/>
      <c r="W85" s="6"/>
      <c r="X85" s="6"/>
      <c r="Y85" s="6"/>
      <c r="Z85" s="6"/>
    </row>
    <row r="86">
      <c r="A86" s="9"/>
      <c r="B86" s="9"/>
      <c r="C86" s="9"/>
      <c r="D86" s="6"/>
      <c r="E86" s="9"/>
      <c r="F86" s="6"/>
      <c r="G86" s="6"/>
      <c r="H86" s="6"/>
      <c r="I86" s="6"/>
      <c r="J86" s="6"/>
      <c r="K86" s="6"/>
      <c r="L86" s="6"/>
      <c r="M86" s="6"/>
      <c r="N86" s="6"/>
      <c r="O86" s="6"/>
      <c r="P86" s="6"/>
      <c r="Q86" s="6"/>
      <c r="R86" s="6"/>
      <c r="S86" s="6"/>
      <c r="T86" s="6"/>
      <c r="U86" s="6"/>
      <c r="V86" s="6"/>
      <c r="W86" s="6"/>
      <c r="X86" s="6"/>
      <c r="Y86" s="6"/>
      <c r="Z86" s="6"/>
    </row>
    <row r="87">
      <c r="A87" s="9"/>
      <c r="B87" s="9"/>
      <c r="C87" s="9"/>
      <c r="D87" s="6"/>
      <c r="E87" s="9"/>
      <c r="F87" s="6"/>
      <c r="G87" s="6"/>
      <c r="H87" s="6"/>
      <c r="I87" s="6"/>
      <c r="J87" s="6"/>
      <c r="K87" s="6"/>
      <c r="L87" s="6"/>
      <c r="M87" s="6"/>
      <c r="N87" s="6"/>
      <c r="O87" s="6"/>
      <c r="P87" s="6"/>
      <c r="Q87" s="6"/>
      <c r="R87" s="6"/>
      <c r="S87" s="6"/>
      <c r="T87" s="6"/>
      <c r="U87" s="6"/>
      <c r="V87" s="6"/>
      <c r="W87" s="6"/>
      <c r="X87" s="6"/>
      <c r="Y87" s="6"/>
      <c r="Z87" s="6"/>
    </row>
    <row r="88">
      <c r="A88" s="9"/>
      <c r="B88" s="9"/>
      <c r="C88" s="9"/>
      <c r="D88" s="6"/>
      <c r="E88" s="9"/>
      <c r="F88" s="6"/>
      <c r="G88" s="6"/>
      <c r="H88" s="6"/>
      <c r="I88" s="6"/>
      <c r="J88" s="6"/>
      <c r="K88" s="6"/>
      <c r="L88" s="6"/>
      <c r="M88" s="6"/>
      <c r="N88" s="6"/>
      <c r="O88" s="6"/>
      <c r="P88" s="6"/>
      <c r="Q88" s="6"/>
      <c r="R88" s="6"/>
      <c r="S88" s="6"/>
      <c r="T88" s="6"/>
      <c r="U88" s="6"/>
      <c r="V88" s="6"/>
      <c r="W88" s="6"/>
      <c r="X88" s="6"/>
      <c r="Y88" s="6"/>
      <c r="Z88" s="6"/>
    </row>
    <row r="89">
      <c r="A89" s="9"/>
      <c r="B89" s="9"/>
      <c r="C89" s="9"/>
      <c r="D89" s="6"/>
      <c r="E89" s="9"/>
      <c r="F89" s="6"/>
      <c r="G89" s="6"/>
      <c r="H89" s="6"/>
      <c r="I89" s="6"/>
      <c r="J89" s="6"/>
      <c r="K89" s="6"/>
      <c r="L89" s="6"/>
      <c r="M89" s="6"/>
      <c r="N89" s="6"/>
      <c r="O89" s="6"/>
      <c r="P89" s="6"/>
      <c r="Q89" s="6"/>
      <c r="R89" s="6"/>
      <c r="S89" s="6"/>
      <c r="T89" s="6"/>
      <c r="U89" s="6"/>
      <c r="V89" s="6"/>
      <c r="W89" s="6"/>
      <c r="X89" s="6"/>
      <c r="Y89" s="6"/>
      <c r="Z89" s="6"/>
    </row>
    <row r="90">
      <c r="A90" s="9"/>
      <c r="B90" s="9"/>
      <c r="C90" s="9"/>
      <c r="D90" s="6"/>
      <c r="E90" s="9"/>
      <c r="F90" s="6"/>
      <c r="G90" s="6"/>
      <c r="H90" s="6"/>
      <c r="I90" s="6"/>
      <c r="J90" s="6"/>
      <c r="K90" s="6"/>
      <c r="L90" s="6"/>
      <c r="M90" s="6"/>
      <c r="N90" s="6"/>
      <c r="O90" s="6"/>
      <c r="P90" s="6"/>
      <c r="Q90" s="6"/>
      <c r="R90" s="6"/>
      <c r="S90" s="6"/>
      <c r="T90" s="6"/>
      <c r="U90" s="6"/>
      <c r="V90" s="6"/>
      <c r="W90" s="6"/>
      <c r="X90" s="6"/>
      <c r="Y90" s="6"/>
      <c r="Z90" s="6"/>
    </row>
    <row r="91">
      <c r="A91" s="9"/>
      <c r="B91" s="9"/>
      <c r="C91" s="9"/>
      <c r="D91" s="6"/>
      <c r="E91" s="9"/>
      <c r="F91" s="6"/>
      <c r="G91" s="6"/>
      <c r="H91" s="6"/>
      <c r="I91" s="6"/>
      <c r="J91" s="6"/>
      <c r="K91" s="6"/>
      <c r="L91" s="6"/>
      <c r="M91" s="6"/>
      <c r="N91" s="6"/>
      <c r="O91" s="6"/>
      <c r="P91" s="6"/>
      <c r="Q91" s="6"/>
      <c r="R91" s="6"/>
      <c r="S91" s="6"/>
      <c r="T91" s="6"/>
      <c r="U91" s="6"/>
      <c r="V91" s="6"/>
      <c r="W91" s="6"/>
      <c r="X91" s="6"/>
      <c r="Y91" s="6"/>
      <c r="Z91" s="6"/>
    </row>
    <row r="92">
      <c r="A92" s="9"/>
      <c r="B92" s="9"/>
      <c r="C92" s="9"/>
      <c r="D92" s="6"/>
      <c r="E92" s="9"/>
      <c r="F92" s="6"/>
      <c r="G92" s="6"/>
      <c r="H92" s="6"/>
      <c r="I92" s="6"/>
      <c r="J92" s="6"/>
      <c r="K92" s="6"/>
      <c r="L92" s="6"/>
      <c r="M92" s="6"/>
      <c r="N92" s="6"/>
      <c r="O92" s="6"/>
      <c r="P92" s="6"/>
      <c r="Q92" s="6"/>
      <c r="R92" s="6"/>
      <c r="S92" s="6"/>
      <c r="T92" s="6"/>
      <c r="U92" s="6"/>
      <c r="V92" s="6"/>
      <c r="W92" s="6"/>
      <c r="X92" s="6"/>
      <c r="Y92" s="6"/>
      <c r="Z92" s="6"/>
    </row>
    <row r="93">
      <c r="A93" s="9"/>
      <c r="B93" s="9"/>
      <c r="C93" s="9"/>
      <c r="D93" s="6"/>
      <c r="E93" s="9"/>
      <c r="F93" s="6"/>
      <c r="G93" s="6"/>
      <c r="H93" s="6"/>
      <c r="I93" s="6"/>
      <c r="J93" s="6"/>
      <c r="K93" s="6"/>
      <c r="L93" s="6"/>
      <c r="M93" s="6"/>
      <c r="N93" s="6"/>
      <c r="O93" s="6"/>
      <c r="P93" s="6"/>
      <c r="Q93" s="6"/>
      <c r="R93" s="6"/>
      <c r="S93" s="6"/>
      <c r="T93" s="6"/>
      <c r="U93" s="6"/>
      <c r="V93" s="6"/>
      <c r="W93" s="6"/>
      <c r="X93" s="6"/>
      <c r="Y93" s="6"/>
      <c r="Z93" s="6"/>
    </row>
    <row r="94">
      <c r="A94" s="9"/>
      <c r="B94" s="9"/>
      <c r="C94" s="9"/>
      <c r="D94" s="6"/>
      <c r="E94" s="9"/>
      <c r="F94" s="6"/>
      <c r="G94" s="6"/>
      <c r="H94" s="6"/>
      <c r="I94" s="6"/>
      <c r="J94" s="6"/>
      <c r="K94" s="6"/>
      <c r="L94" s="6"/>
      <c r="M94" s="6"/>
      <c r="N94" s="6"/>
      <c r="O94" s="6"/>
      <c r="P94" s="6"/>
      <c r="Q94" s="6"/>
      <c r="R94" s="6"/>
      <c r="S94" s="6"/>
      <c r="T94" s="6"/>
      <c r="U94" s="6"/>
      <c r="V94" s="6"/>
      <c r="W94" s="6"/>
      <c r="X94" s="6"/>
      <c r="Y94" s="6"/>
      <c r="Z94" s="6"/>
    </row>
    <row r="95">
      <c r="A95" s="9"/>
      <c r="B95" s="9"/>
      <c r="C95" s="9"/>
      <c r="D95" s="6"/>
      <c r="E95" s="9"/>
      <c r="F95" s="6"/>
      <c r="G95" s="6"/>
      <c r="H95" s="6"/>
      <c r="I95" s="6"/>
      <c r="J95" s="6"/>
      <c r="K95" s="6"/>
      <c r="L95" s="6"/>
      <c r="M95" s="6"/>
      <c r="N95" s="6"/>
      <c r="O95" s="6"/>
      <c r="P95" s="6"/>
      <c r="Q95" s="6"/>
      <c r="R95" s="6"/>
      <c r="S95" s="6"/>
      <c r="T95" s="6"/>
      <c r="U95" s="6"/>
      <c r="V95" s="6"/>
      <c r="W95" s="6"/>
      <c r="X95" s="6"/>
      <c r="Y95" s="6"/>
      <c r="Z95" s="6"/>
    </row>
    <row r="96">
      <c r="A96" s="9"/>
      <c r="B96" s="9"/>
      <c r="C96" s="9"/>
      <c r="D96" s="6"/>
      <c r="E96" s="9"/>
      <c r="F96" s="6"/>
      <c r="G96" s="6"/>
      <c r="H96" s="6"/>
      <c r="I96" s="6"/>
      <c r="J96" s="6"/>
      <c r="K96" s="6"/>
      <c r="L96" s="6"/>
      <c r="M96" s="6"/>
      <c r="N96" s="6"/>
      <c r="O96" s="6"/>
      <c r="P96" s="6"/>
      <c r="Q96" s="6"/>
      <c r="R96" s="6"/>
      <c r="S96" s="6"/>
      <c r="T96" s="6"/>
      <c r="U96" s="6"/>
      <c r="V96" s="6"/>
      <c r="W96" s="6"/>
      <c r="X96" s="6"/>
      <c r="Y96" s="6"/>
      <c r="Z96" s="6"/>
    </row>
    <row r="97">
      <c r="A97" s="9"/>
      <c r="B97" s="9"/>
      <c r="C97" s="9"/>
      <c r="D97" s="6"/>
      <c r="E97" s="9"/>
      <c r="F97" s="6"/>
      <c r="G97" s="6"/>
      <c r="H97" s="6"/>
      <c r="I97" s="6"/>
      <c r="J97" s="6"/>
      <c r="K97" s="6"/>
      <c r="L97" s="6"/>
      <c r="M97" s="6"/>
      <c r="N97" s="6"/>
      <c r="O97" s="6"/>
      <c r="P97" s="6"/>
      <c r="Q97" s="6"/>
      <c r="R97" s="6"/>
      <c r="S97" s="6"/>
      <c r="T97" s="6"/>
      <c r="U97" s="6"/>
      <c r="V97" s="6"/>
      <c r="W97" s="6"/>
      <c r="X97" s="6"/>
      <c r="Y97" s="6"/>
      <c r="Z97" s="6"/>
    </row>
    <row r="98">
      <c r="A98" s="9"/>
      <c r="B98" s="9"/>
      <c r="C98" s="9"/>
      <c r="D98" s="6"/>
      <c r="E98" s="9"/>
      <c r="F98" s="6"/>
      <c r="G98" s="6"/>
      <c r="H98" s="6"/>
      <c r="I98" s="6"/>
      <c r="J98" s="6"/>
      <c r="K98" s="6"/>
      <c r="L98" s="6"/>
      <c r="M98" s="6"/>
      <c r="N98" s="6"/>
      <c r="O98" s="6"/>
      <c r="P98" s="6"/>
      <c r="Q98" s="6"/>
      <c r="R98" s="6"/>
      <c r="S98" s="6"/>
      <c r="T98" s="6"/>
      <c r="U98" s="6"/>
      <c r="V98" s="6"/>
      <c r="W98" s="6"/>
      <c r="X98" s="6"/>
      <c r="Y98" s="6"/>
      <c r="Z98" s="6"/>
    </row>
    <row r="99">
      <c r="A99" s="9"/>
      <c r="B99" s="9"/>
      <c r="C99" s="9"/>
      <c r="D99" s="6"/>
      <c r="E99" s="9"/>
      <c r="F99" s="6"/>
      <c r="G99" s="6"/>
      <c r="H99" s="6"/>
      <c r="I99" s="6"/>
      <c r="J99" s="6"/>
      <c r="K99" s="6"/>
      <c r="L99" s="6"/>
      <c r="M99" s="6"/>
      <c r="N99" s="6"/>
      <c r="O99" s="6"/>
      <c r="P99" s="6"/>
      <c r="Q99" s="6"/>
      <c r="R99" s="6"/>
      <c r="S99" s="6"/>
      <c r="T99" s="6"/>
      <c r="U99" s="6"/>
      <c r="V99" s="6"/>
      <c r="W99" s="6"/>
      <c r="X99" s="6"/>
      <c r="Y99" s="6"/>
      <c r="Z99" s="6"/>
    </row>
    <row r="100">
      <c r="A100" s="9"/>
      <c r="B100" s="9"/>
      <c r="C100" s="9"/>
      <c r="D100" s="6"/>
      <c r="E100" s="9"/>
      <c r="F100" s="6"/>
      <c r="G100" s="6"/>
      <c r="H100" s="6"/>
      <c r="I100" s="6"/>
      <c r="J100" s="6"/>
      <c r="K100" s="6"/>
      <c r="L100" s="6"/>
      <c r="M100" s="6"/>
      <c r="N100" s="6"/>
      <c r="O100" s="6"/>
      <c r="P100" s="6"/>
      <c r="Q100" s="6"/>
      <c r="R100" s="6"/>
      <c r="S100" s="6"/>
      <c r="T100" s="6"/>
      <c r="U100" s="6"/>
      <c r="V100" s="6"/>
      <c r="W100" s="6"/>
      <c r="X100" s="6"/>
      <c r="Y100" s="6"/>
      <c r="Z100" s="6"/>
    </row>
    <row r="101">
      <c r="A101" s="9"/>
      <c r="B101" s="9"/>
      <c r="C101" s="9"/>
      <c r="D101" s="6"/>
      <c r="E101" s="9"/>
      <c r="F101" s="6"/>
      <c r="G101" s="6"/>
      <c r="H101" s="6"/>
      <c r="I101" s="6"/>
      <c r="J101" s="6"/>
      <c r="K101" s="6"/>
      <c r="L101" s="6"/>
      <c r="M101" s="6"/>
      <c r="N101" s="6"/>
      <c r="O101" s="6"/>
      <c r="P101" s="6"/>
      <c r="Q101" s="6"/>
      <c r="R101" s="6"/>
      <c r="S101" s="6"/>
      <c r="T101" s="6"/>
      <c r="U101" s="6"/>
      <c r="V101" s="6"/>
      <c r="W101" s="6"/>
      <c r="X101" s="6"/>
      <c r="Y101" s="6"/>
      <c r="Z101" s="6"/>
    </row>
    <row r="102">
      <c r="A102" s="9"/>
      <c r="B102" s="9"/>
      <c r="C102" s="9"/>
      <c r="D102" s="6"/>
      <c r="E102" s="9"/>
      <c r="F102" s="6"/>
      <c r="G102" s="6"/>
      <c r="H102" s="6"/>
      <c r="I102" s="6"/>
      <c r="J102" s="6"/>
      <c r="K102" s="6"/>
      <c r="L102" s="6"/>
      <c r="M102" s="6"/>
      <c r="N102" s="6"/>
      <c r="O102" s="6"/>
      <c r="P102" s="6"/>
      <c r="Q102" s="6"/>
      <c r="R102" s="6"/>
      <c r="S102" s="6"/>
      <c r="T102" s="6"/>
      <c r="U102" s="6"/>
      <c r="V102" s="6"/>
      <c r="W102" s="6"/>
      <c r="X102" s="6"/>
      <c r="Y102" s="6"/>
      <c r="Z102" s="6"/>
    </row>
    <row r="103">
      <c r="A103" s="9"/>
      <c r="B103" s="9"/>
      <c r="C103" s="9"/>
      <c r="D103" s="6"/>
      <c r="E103" s="9"/>
      <c r="F103" s="6"/>
      <c r="G103" s="6"/>
      <c r="H103" s="6"/>
      <c r="I103" s="6"/>
      <c r="J103" s="6"/>
      <c r="K103" s="6"/>
      <c r="L103" s="6"/>
      <c r="M103" s="6"/>
      <c r="N103" s="6"/>
      <c r="O103" s="6"/>
      <c r="P103" s="6"/>
      <c r="Q103" s="6"/>
      <c r="R103" s="6"/>
      <c r="S103" s="6"/>
      <c r="T103" s="6"/>
      <c r="U103" s="6"/>
      <c r="V103" s="6"/>
      <c r="W103" s="6"/>
      <c r="X103" s="6"/>
      <c r="Y103" s="6"/>
      <c r="Z103" s="6"/>
    </row>
    <row r="104">
      <c r="A104" s="9"/>
      <c r="B104" s="9"/>
      <c r="C104" s="9"/>
      <c r="D104" s="6"/>
      <c r="E104" s="9"/>
      <c r="F104" s="6"/>
      <c r="G104" s="6"/>
      <c r="H104" s="6"/>
      <c r="I104" s="6"/>
      <c r="J104" s="6"/>
      <c r="K104" s="6"/>
      <c r="L104" s="6"/>
      <c r="M104" s="6"/>
      <c r="N104" s="6"/>
      <c r="O104" s="6"/>
      <c r="P104" s="6"/>
      <c r="Q104" s="6"/>
      <c r="R104" s="6"/>
      <c r="S104" s="6"/>
      <c r="T104" s="6"/>
      <c r="U104" s="6"/>
      <c r="V104" s="6"/>
      <c r="W104" s="6"/>
      <c r="X104" s="6"/>
      <c r="Y104" s="6"/>
      <c r="Z104" s="6"/>
    </row>
    <row r="105">
      <c r="A105" s="9"/>
      <c r="B105" s="9"/>
      <c r="C105" s="9"/>
      <c r="D105" s="6"/>
      <c r="E105" s="9"/>
      <c r="F105" s="6"/>
      <c r="G105" s="6"/>
      <c r="H105" s="6"/>
      <c r="I105" s="6"/>
      <c r="J105" s="6"/>
      <c r="K105" s="6"/>
      <c r="L105" s="6"/>
      <c r="M105" s="6"/>
      <c r="N105" s="6"/>
      <c r="O105" s="6"/>
      <c r="P105" s="6"/>
      <c r="Q105" s="6"/>
      <c r="R105" s="6"/>
      <c r="S105" s="6"/>
      <c r="T105" s="6"/>
      <c r="U105" s="6"/>
      <c r="V105" s="6"/>
      <c r="W105" s="6"/>
      <c r="X105" s="6"/>
      <c r="Y105" s="6"/>
      <c r="Z105" s="6"/>
    </row>
    <row r="106">
      <c r="A106" s="9"/>
      <c r="B106" s="9"/>
      <c r="C106" s="9"/>
      <c r="D106" s="6"/>
      <c r="E106" s="9"/>
      <c r="F106" s="6"/>
      <c r="G106" s="6"/>
      <c r="H106" s="6"/>
      <c r="I106" s="6"/>
      <c r="J106" s="6"/>
      <c r="K106" s="6"/>
      <c r="L106" s="6"/>
      <c r="M106" s="6"/>
      <c r="N106" s="6"/>
      <c r="O106" s="6"/>
      <c r="P106" s="6"/>
      <c r="Q106" s="6"/>
      <c r="R106" s="6"/>
      <c r="S106" s="6"/>
      <c r="T106" s="6"/>
      <c r="U106" s="6"/>
      <c r="V106" s="6"/>
      <c r="W106" s="6"/>
      <c r="X106" s="6"/>
      <c r="Y106" s="6"/>
      <c r="Z106" s="6"/>
    </row>
    <row r="107">
      <c r="A107" s="9"/>
      <c r="B107" s="9"/>
      <c r="C107" s="9"/>
      <c r="D107" s="6"/>
      <c r="E107" s="9"/>
      <c r="F107" s="6"/>
      <c r="G107" s="6"/>
      <c r="H107" s="6"/>
      <c r="I107" s="6"/>
      <c r="J107" s="6"/>
      <c r="K107" s="6"/>
      <c r="L107" s="6"/>
      <c r="M107" s="6"/>
      <c r="N107" s="6"/>
      <c r="O107" s="6"/>
      <c r="P107" s="6"/>
      <c r="Q107" s="6"/>
      <c r="R107" s="6"/>
      <c r="S107" s="6"/>
      <c r="T107" s="6"/>
      <c r="U107" s="6"/>
      <c r="V107" s="6"/>
      <c r="W107" s="6"/>
      <c r="X107" s="6"/>
      <c r="Y107" s="6"/>
      <c r="Z107" s="6"/>
    </row>
    <row r="108">
      <c r="A108" s="9"/>
      <c r="B108" s="9"/>
      <c r="C108" s="9"/>
      <c r="D108" s="6"/>
      <c r="E108" s="9"/>
      <c r="F108" s="6"/>
      <c r="G108" s="6"/>
      <c r="H108" s="6"/>
      <c r="I108" s="6"/>
      <c r="J108" s="6"/>
      <c r="K108" s="6"/>
      <c r="L108" s="6"/>
      <c r="M108" s="6"/>
      <c r="N108" s="6"/>
      <c r="O108" s="6"/>
      <c r="P108" s="6"/>
      <c r="Q108" s="6"/>
      <c r="R108" s="6"/>
      <c r="S108" s="6"/>
      <c r="T108" s="6"/>
      <c r="U108" s="6"/>
      <c r="V108" s="6"/>
      <c r="W108" s="6"/>
      <c r="X108" s="6"/>
      <c r="Y108" s="6"/>
      <c r="Z108" s="6"/>
    </row>
    <row r="109">
      <c r="A109" s="9"/>
      <c r="B109" s="9"/>
      <c r="C109" s="9"/>
      <c r="D109" s="6"/>
      <c r="E109" s="9"/>
      <c r="F109" s="6"/>
      <c r="G109" s="6"/>
      <c r="H109" s="6"/>
      <c r="I109" s="6"/>
      <c r="J109" s="6"/>
      <c r="K109" s="6"/>
      <c r="L109" s="6"/>
      <c r="M109" s="6"/>
      <c r="N109" s="6"/>
      <c r="O109" s="6"/>
      <c r="P109" s="6"/>
      <c r="Q109" s="6"/>
      <c r="R109" s="6"/>
      <c r="S109" s="6"/>
      <c r="T109" s="6"/>
      <c r="U109" s="6"/>
      <c r="V109" s="6"/>
      <c r="W109" s="6"/>
      <c r="X109" s="6"/>
      <c r="Y109" s="6"/>
      <c r="Z109" s="6"/>
    </row>
    <row r="110">
      <c r="A110" s="9"/>
      <c r="B110" s="9"/>
      <c r="C110" s="9"/>
      <c r="D110" s="6"/>
      <c r="E110" s="9"/>
      <c r="F110" s="6"/>
      <c r="G110" s="6"/>
      <c r="H110" s="6"/>
      <c r="I110" s="6"/>
      <c r="J110" s="6"/>
      <c r="K110" s="6"/>
      <c r="L110" s="6"/>
      <c r="M110" s="6"/>
      <c r="N110" s="6"/>
      <c r="O110" s="6"/>
      <c r="P110" s="6"/>
      <c r="Q110" s="6"/>
      <c r="R110" s="6"/>
      <c r="S110" s="6"/>
      <c r="T110" s="6"/>
      <c r="U110" s="6"/>
      <c r="V110" s="6"/>
      <c r="W110" s="6"/>
      <c r="X110" s="6"/>
      <c r="Y110" s="6"/>
      <c r="Z110" s="6"/>
    </row>
    <row r="111">
      <c r="A111" s="9"/>
      <c r="B111" s="9"/>
      <c r="C111" s="9"/>
      <c r="D111" s="6"/>
      <c r="E111" s="9"/>
      <c r="F111" s="6"/>
      <c r="G111" s="6"/>
      <c r="H111" s="6"/>
      <c r="I111" s="6"/>
      <c r="J111" s="6"/>
      <c r="K111" s="6"/>
      <c r="L111" s="6"/>
      <c r="M111" s="6"/>
      <c r="N111" s="6"/>
      <c r="O111" s="6"/>
      <c r="P111" s="6"/>
      <c r="Q111" s="6"/>
      <c r="R111" s="6"/>
      <c r="S111" s="6"/>
      <c r="T111" s="6"/>
      <c r="U111" s="6"/>
      <c r="V111" s="6"/>
      <c r="W111" s="6"/>
      <c r="X111" s="6"/>
      <c r="Y111" s="6"/>
      <c r="Z111" s="6"/>
    </row>
    <row r="112">
      <c r="A112" s="9"/>
      <c r="B112" s="9"/>
      <c r="C112" s="9"/>
      <c r="D112" s="6"/>
      <c r="E112" s="9"/>
      <c r="F112" s="6"/>
      <c r="G112" s="6"/>
      <c r="H112" s="6"/>
      <c r="I112" s="6"/>
      <c r="J112" s="6"/>
      <c r="K112" s="6"/>
      <c r="L112" s="6"/>
      <c r="M112" s="6"/>
      <c r="N112" s="6"/>
      <c r="O112" s="6"/>
      <c r="P112" s="6"/>
      <c r="Q112" s="6"/>
      <c r="R112" s="6"/>
      <c r="S112" s="6"/>
      <c r="T112" s="6"/>
      <c r="U112" s="6"/>
      <c r="V112" s="6"/>
      <c r="W112" s="6"/>
      <c r="X112" s="6"/>
      <c r="Y112" s="6"/>
      <c r="Z112" s="6"/>
    </row>
    <row r="113">
      <c r="A113" s="9"/>
      <c r="B113" s="9"/>
      <c r="C113" s="9"/>
      <c r="D113" s="6"/>
      <c r="E113" s="9"/>
      <c r="F113" s="6"/>
      <c r="G113" s="6"/>
      <c r="H113" s="6"/>
      <c r="I113" s="6"/>
      <c r="J113" s="6"/>
      <c r="K113" s="6"/>
      <c r="L113" s="6"/>
      <c r="M113" s="6"/>
      <c r="N113" s="6"/>
      <c r="O113" s="6"/>
      <c r="P113" s="6"/>
      <c r="Q113" s="6"/>
      <c r="R113" s="6"/>
      <c r="S113" s="6"/>
      <c r="T113" s="6"/>
      <c r="U113" s="6"/>
      <c r="V113" s="6"/>
      <c r="W113" s="6"/>
      <c r="X113" s="6"/>
      <c r="Y113" s="6"/>
      <c r="Z113" s="6"/>
    </row>
    <row r="114">
      <c r="A114" s="9"/>
      <c r="B114" s="9"/>
      <c r="C114" s="9"/>
      <c r="D114" s="6"/>
      <c r="E114" s="9"/>
      <c r="F114" s="6"/>
      <c r="G114" s="6"/>
      <c r="H114" s="6"/>
      <c r="I114" s="6"/>
      <c r="J114" s="6"/>
      <c r="K114" s="6"/>
      <c r="L114" s="6"/>
      <c r="M114" s="6"/>
      <c r="N114" s="6"/>
      <c r="O114" s="6"/>
      <c r="P114" s="6"/>
      <c r="Q114" s="6"/>
      <c r="R114" s="6"/>
      <c r="S114" s="6"/>
      <c r="T114" s="6"/>
      <c r="U114" s="6"/>
      <c r="V114" s="6"/>
      <c r="W114" s="6"/>
      <c r="X114" s="6"/>
      <c r="Y114" s="6"/>
      <c r="Z114" s="6"/>
    </row>
    <row r="115">
      <c r="A115" s="9"/>
      <c r="B115" s="9"/>
      <c r="C115" s="9"/>
      <c r="D115" s="6"/>
      <c r="E115" s="9"/>
      <c r="F115" s="6"/>
      <c r="G115" s="6"/>
      <c r="H115" s="6"/>
      <c r="I115" s="6"/>
      <c r="J115" s="6"/>
      <c r="K115" s="6"/>
      <c r="L115" s="6"/>
      <c r="M115" s="6"/>
      <c r="N115" s="6"/>
      <c r="O115" s="6"/>
      <c r="P115" s="6"/>
      <c r="Q115" s="6"/>
      <c r="R115" s="6"/>
      <c r="S115" s="6"/>
      <c r="T115" s="6"/>
      <c r="U115" s="6"/>
      <c r="V115" s="6"/>
      <c r="W115" s="6"/>
      <c r="X115" s="6"/>
      <c r="Y115" s="6"/>
      <c r="Z115" s="6"/>
    </row>
    <row r="116">
      <c r="A116" s="9"/>
      <c r="B116" s="9"/>
      <c r="C116" s="9"/>
      <c r="D116" s="6"/>
      <c r="E116" s="9"/>
      <c r="F116" s="6"/>
      <c r="G116" s="6"/>
      <c r="H116" s="6"/>
      <c r="I116" s="6"/>
      <c r="J116" s="6"/>
      <c r="K116" s="6"/>
      <c r="L116" s="6"/>
      <c r="M116" s="6"/>
      <c r="N116" s="6"/>
      <c r="O116" s="6"/>
      <c r="P116" s="6"/>
      <c r="Q116" s="6"/>
      <c r="R116" s="6"/>
      <c r="S116" s="6"/>
      <c r="T116" s="6"/>
      <c r="U116" s="6"/>
      <c r="V116" s="6"/>
      <c r="W116" s="6"/>
      <c r="X116" s="6"/>
      <c r="Y116" s="6"/>
      <c r="Z116" s="6"/>
    </row>
    <row r="117">
      <c r="A117" s="9"/>
      <c r="B117" s="9"/>
      <c r="C117" s="9"/>
      <c r="D117" s="6"/>
      <c r="E117" s="9"/>
      <c r="F117" s="6"/>
      <c r="G117" s="6"/>
      <c r="H117" s="6"/>
      <c r="I117" s="6"/>
      <c r="J117" s="6"/>
      <c r="K117" s="6"/>
      <c r="L117" s="6"/>
      <c r="M117" s="6"/>
      <c r="N117" s="6"/>
      <c r="O117" s="6"/>
      <c r="P117" s="6"/>
      <c r="Q117" s="6"/>
      <c r="R117" s="6"/>
      <c r="S117" s="6"/>
      <c r="T117" s="6"/>
      <c r="U117" s="6"/>
      <c r="V117" s="6"/>
      <c r="W117" s="6"/>
      <c r="X117" s="6"/>
      <c r="Y117" s="6"/>
      <c r="Z117" s="6"/>
    </row>
    <row r="118">
      <c r="A118" s="9"/>
      <c r="B118" s="9"/>
      <c r="C118" s="9"/>
      <c r="D118" s="6"/>
      <c r="E118" s="9"/>
      <c r="F118" s="6"/>
      <c r="G118" s="6"/>
      <c r="H118" s="6"/>
      <c r="I118" s="6"/>
      <c r="J118" s="6"/>
      <c r="K118" s="6"/>
      <c r="L118" s="6"/>
      <c r="M118" s="6"/>
      <c r="N118" s="6"/>
      <c r="O118" s="6"/>
      <c r="P118" s="6"/>
      <c r="Q118" s="6"/>
      <c r="R118" s="6"/>
      <c r="S118" s="6"/>
      <c r="T118" s="6"/>
      <c r="U118" s="6"/>
      <c r="V118" s="6"/>
      <c r="W118" s="6"/>
      <c r="X118" s="6"/>
      <c r="Y118" s="6"/>
      <c r="Z118" s="6"/>
    </row>
    <row r="119">
      <c r="A119" s="9"/>
      <c r="B119" s="9"/>
      <c r="C119" s="9"/>
      <c r="D119" s="6"/>
      <c r="E119" s="9"/>
      <c r="F119" s="6"/>
      <c r="G119" s="6"/>
      <c r="H119" s="6"/>
      <c r="I119" s="6"/>
      <c r="J119" s="6"/>
      <c r="K119" s="6"/>
      <c r="L119" s="6"/>
      <c r="M119" s="6"/>
      <c r="N119" s="6"/>
      <c r="O119" s="6"/>
      <c r="P119" s="6"/>
      <c r="Q119" s="6"/>
      <c r="R119" s="6"/>
      <c r="S119" s="6"/>
      <c r="T119" s="6"/>
      <c r="U119" s="6"/>
      <c r="V119" s="6"/>
      <c r="W119" s="6"/>
      <c r="X119" s="6"/>
      <c r="Y119" s="6"/>
      <c r="Z119" s="6"/>
    </row>
    <row r="120">
      <c r="A120" s="9"/>
      <c r="B120" s="9"/>
      <c r="C120" s="9"/>
      <c r="D120" s="6"/>
      <c r="E120" s="9"/>
      <c r="F120" s="6"/>
      <c r="G120" s="6"/>
      <c r="H120" s="6"/>
      <c r="I120" s="6"/>
      <c r="J120" s="6"/>
      <c r="K120" s="6"/>
      <c r="L120" s="6"/>
      <c r="M120" s="6"/>
      <c r="N120" s="6"/>
      <c r="O120" s="6"/>
      <c r="P120" s="6"/>
      <c r="Q120" s="6"/>
      <c r="R120" s="6"/>
      <c r="S120" s="6"/>
      <c r="T120" s="6"/>
      <c r="U120" s="6"/>
      <c r="V120" s="6"/>
      <c r="W120" s="6"/>
      <c r="X120" s="6"/>
      <c r="Y120" s="6"/>
      <c r="Z120" s="6"/>
    </row>
    <row r="121">
      <c r="A121" s="9"/>
      <c r="B121" s="9"/>
      <c r="C121" s="9"/>
      <c r="D121" s="6"/>
      <c r="E121" s="9"/>
      <c r="F121" s="6"/>
      <c r="G121" s="6"/>
      <c r="H121" s="6"/>
      <c r="I121" s="6"/>
      <c r="J121" s="6"/>
      <c r="K121" s="6"/>
      <c r="L121" s="6"/>
      <c r="M121" s="6"/>
      <c r="N121" s="6"/>
      <c r="O121" s="6"/>
      <c r="P121" s="6"/>
      <c r="Q121" s="6"/>
      <c r="R121" s="6"/>
      <c r="S121" s="6"/>
      <c r="T121" s="6"/>
      <c r="U121" s="6"/>
      <c r="V121" s="6"/>
      <c r="W121" s="6"/>
      <c r="X121" s="6"/>
      <c r="Y121" s="6"/>
      <c r="Z121" s="6"/>
    </row>
    <row r="122">
      <c r="A122" s="9"/>
      <c r="B122" s="9"/>
      <c r="C122" s="9"/>
      <c r="D122" s="6"/>
      <c r="E122" s="9"/>
      <c r="F122" s="6"/>
      <c r="G122" s="6"/>
      <c r="H122" s="6"/>
      <c r="I122" s="6"/>
      <c r="J122" s="6"/>
      <c r="K122" s="6"/>
      <c r="L122" s="6"/>
      <c r="M122" s="6"/>
      <c r="N122" s="6"/>
      <c r="O122" s="6"/>
      <c r="P122" s="6"/>
      <c r="Q122" s="6"/>
      <c r="R122" s="6"/>
      <c r="S122" s="6"/>
      <c r="T122" s="6"/>
      <c r="U122" s="6"/>
      <c r="V122" s="6"/>
      <c r="W122" s="6"/>
      <c r="X122" s="6"/>
      <c r="Y122" s="6"/>
      <c r="Z122" s="6"/>
    </row>
    <row r="123">
      <c r="A123" s="9"/>
      <c r="B123" s="9"/>
      <c r="C123" s="9"/>
      <c r="D123" s="6"/>
      <c r="E123" s="9"/>
      <c r="F123" s="6"/>
      <c r="G123" s="6"/>
      <c r="H123" s="6"/>
      <c r="I123" s="6"/>
      <c r="J123" s="6"/>
      <c r="K123" s="6"/>
      <c r="L123" s="6"/>
      <c r="M123" s="6"/>
      <c r="N123" s="6"/>
      <c r="O123" s="6"/>
      <c r="P123" s="6"/>
      <c r="Q123" s="6"/>
      <c r="R123" s="6"/>
      <c r="S123" s="6"/>
      <c r="T123" s="6"/>
      <c r="U123" s="6"/>
      <c r="V123" s="6"/>
      <c r="W123" s="6"/>
      <c r="X123" s="6"/>
      <c r="Y123" s="6"/>
      <c r="Z123" s="6"/>
    </row>
    <row r="124">
      <c r="A124" s="9"/>
      <c r="B124" s="9"/>
      <c r="C124" s="9"/>
      <c r="D124" s="6"/>
      <c r="E124" s="9"/>
      <c r="F124" s="6"/>
      <c r="G124" s="6"/>
      <c r="H124" s="6"/>
      <c r="I124" s="6"/>
      <c r="J124" s="6"/>
      <c r="K124" s="6"/>
      <c r="L124" s="6"/>
      <c r="M124" s="6"/>
      <c r="N124" s="6"/>
      <c r="O124" s="6"/>
      <c r="P124" s="6"/>
      <c r="Q124" s="6"/>
      <c r="R124" s="6"/>
      <c r="S124" s="6"/>
      <c r="T124" s="6"/>
      <c r="U124" s="6"/>
      <c r="V124" s="6"/>
      <c r="W124" s="6"/>
      <c r="X124" s="6"/>
      <c r="Y124" s="6"/>
      <c r="Z124" s="6"/>
    </row>
    <row r="125">
      <c r="A125" s="9"/>
      <c r="B125" s="9"/>
      <c r="C125" s="9"/>
      <c r="D125" s="6"/>
      <c r="E125" s="9"/>
      <c r="F125" s="6"/>
      <c r="G125" s="6"/>
      <c r="H125" s="6"/>
      <c r="I125" s="6"/>
      <c r="J125" s="6"/>
      <c r="K125" s="6"/>
      <c r="L125" s="6"/>
      <c r="M125" s="6"/>
      <c r="N125" s="6"/>
      <c r="O125" s="6"/>
      <c r="P125" s="6"/>
      <c r="Q125" s="6"/>
      <c r="R125" s="6"/>
      <c r="S125" s="6"/>
      <c r="T125" s="6"/>
      <c r="U125" s="6"/>
      <c r="V125" s="6"/>
      <c r="W125" s="6"/>
      <c r="X125" s="6"/>
      <c r="Y125" s="6"/>
      <c r="Z125" s="6"/>
    </row>
    <row r="126">
      <c r="A126" s="9"/>
      <c r="B126" s="9"/>
      <c r="C126" s="9"/>
      <c r="D126" s="6"/>
      <c r="E126" s="9"/>
      <c r="F126" s="6"/>
      <c r="G126" s="6"/>
      <c r="H126" s="6"/>
      <c r="I126" s="6"/>
      <c r="J126" s="6"/>
      <c r="K126" s="6"/>
      <c r="L126" s="6"/>
      <c r="M126" s="6"/>
      <c r="N126" s="6"/>
      <c r="O126" s="6"/>
      <c r="P126" s="6"/>
      <c r="Q126" s="6"/>
      <c r="R126" s="6"/>
      <c r="S126" s="6"/>
      <c r="T126" s="6"/>
      <c r="U126" s="6"/>
      <c r="V126" s="6"/>
      <c r="W126" s="6"/>
      <c r="X126" s="6"/>
      <c r="Y126" s="6"/>
      <c r="Z126" s="6"/>
    </row>
    <row r="127">
      <c r="A127" s="9"/>
      <c r="B127" s="9"/>
      <c r="C127" s="9"/>
      <c r="D127" s="6"/>
      <c r="E127" s="9"/>
      <c r="F127" s="6"/>
      <c r="G127" s="6"/>
      <c r="H127" s="6"/>
      <c r="I127" s="6"/>
      <c r="J127" s="6"/>
      <c r="K127" s="6"/>
      <c r="L127" s="6"/>
      <c r="M127" s="6"/>
      <c r="N127" s="6"/>
      <c r="O127" s="6"/>
      <c r="P127" s="6"/>
      <c r="Q127" s="6"/>
      <c r="R127" s="6"/>
      <c r="S127" s="6"/>
      <c r="T127" s="6"/>
      <c r="U127" s="6"/>
      <c r="V127" s="6"/>
      <c r="W127" s="6"/>
      <c r="X127" s="6"/>
      <c r="Y127" s="6"/>
      <c r="Z127" s="6"/>
    </row>
    <row r="128">
      <c r="A128" s="9"/>
      <c r="B128" s="9"/>
      <c r="C128" s="9"/>
      <c r="D128" s="6"/>
      <c r="E128" s="9"/>
      <c r="F128" s="6"/>
      <c r="G128" s="6"/>
      <c r="H128" s="6"/>
      <c r="I128" s="6"/>
      <c r="J128" s="6"/>
      <c r="K128" s="6"/>
      <c r="L128" s="6"/>
      <c r="M128" s="6"/>
      <c r="N128" s="6"/>
      <c r="O128" s="6"/>
      <c r="P128" s="6"/>
      <c r="Q128" s="6"/>
      <c r="R128" s="6"/>
      <c r="S128" s="6"/>
      <c r="T128" s="6"/>
      <c r="U128" s="6"/>
      <c r="V128" s="6"/>
      <c r="W128" s="6"/>
      <c r="X128" s="6"/>
      <c r="Y128" s="6"/>
      <c r="Z128" s="6"/>
    </row>
    <row r="129">
      <c r="A129" s="9"/>
      <c r="B129" s="9"/>
      <c r="C129" s="9"/>
      <c r="D129" s="6"/>
      <c r="E129" s="9"/>
      <c r="F129" s="6"/>
      <c r="G129" s="6"/>
      <c r="H129" s="6"/>
      <c r="I129" s="6"/>
      <c r="J129" s="6"/>
      <c r="K129" s="6"/>
      <c r="L129" s="6"/>
      <c r="M129" s="6"/>
      <c r="N129" s="6"/>
      <c r="O129" s="6"/>
      <c r="P129" s="6"/>
      <c r="Q129" s="6"/>
      <c r="R129" s="6"/>
      <c r="S129" s="6"/>
      <c r="T129" s="6"/>
      <c r="U129" s="6"/>
      <c r="V129" s="6"/>
      <c r="W129" s="6"/>
      <c r="X129" s="6"/>
      <c r="Y129" s="6"/>
      <c r="Z129" s="6"/>
    </row>
    <row r="130">
      <c r="A130" s="9"/>
      <c r="B130" s="9"/>
      <c r="C130" s="9"/>
      <c r="D130" s="6"/>
      <c r="E130" s="9"/>
      <c r="F130" s="6"/>
      <c r="G130" s="6"/>
      <c r="H130" s="6"/>
      <c r="I130" s="6"/>
      <c r="J130" s="6"/>
      <c r="K130" s="6"/>
      <c r="L130" s="6"/>
      <c r="M130" s="6"/>
      <c r="N130" s="6"/>
      <c r="O130" s="6"/>
      <c r="P130" s="6"/>
      <c r="Q130" s="6"/>
      <c r="R130" s="6"/>
      <c r="S130" s="6"/>
      <c r="T130" s="6"/>
      <c r="U130" s="6"/>
      <c r="V130" s="6"/>
      <c r="W130" s="6"/>
      <c r="X130" s="6"/>
      <c r="Y130" s="6"/>
      <c r="Z130" s="6"/>
    </row>
    <row r="131">
      <c r="A131" s="9"/>
      <c r="B131" s="9"/>
      <c r="C131" s="9"/>
      <c r="D131" s="6"/>
      <c r="E131" s="9"/>
      <c r="F131" s="6"/>
      <c r="G131" s="6"/>
      <c r="H131" s="6"/>
      <c r="I131" s="6"/>
      <c r="J131" s="6"/>
      <c r="K131" s="6"/>
      <c r="L131" s="6"/>
      <c r="M131" s="6"/>
      <c r="N131" s="6"/>
      <c r="O131" s="6"/>
      <c r="P131" s="6"/>
      <c r="Q131" s="6"/>
      <c r="R131" s="6"/>
      <c r="S131" s="6"/>
      <c r="T131" s="6"/>
      <c r="U131" s="6"/>
      <c r="V131" s="6"/>
      <c r="W131" s="6"/>
      <c r="X131" s="6"/>
      <c r="Y131" s="6"/>
      <c r="Z131" s="6"/>
    </row>
    <row r="132">
      <c r="A132" s="9"/>
      <c r="B132" s="9"/>
      <c r="C132" s="9"/>
      <c r="D132" s="6"/>
      <c r="E132" s="9"/>
      <c r="F132" s="6"/>
      <c r="G132" s="6"/>
      <c r="H132" s="6"/>
      <c r="I132" s="6"/>
      <c r="J132" s="6"/>
      <c r="K132" s="6"/>
      <c r="L132" s="6"/>
      <c r="M132" s="6"/>
      <c r="N132" s="6"/>
      <c r="O132" s="6"/>
      <c r="P132" s="6"/>
      <c r="Q132" s="6"/>
      <c r="R132" s="6"/>
      <c r="S132" s="6"/>
      <c r="T132" s="6"/>
      <c r="U132" s="6"/>
      <c r="V132" s="6"/>
      <c r="W132" s="6"/>
      <c r="X132" s="6"/>
      <c r="Y132" s="6"/>
      <c r="Z132" s="6"/>
    </row>
    <row r="133">
      <c r="A133" s="9"/>
      <c r="B133" s="9"/>
      <c r="C133" s="9"/>
      <c r="D133" s="6"/>
      <c r="E133" s="9"/>
      <c r="F133" s="6"/>
      <c r="G133" s="6"/>
      <c r="H133" s="6"/>
      <c r="I133" s="6"/>
      <c r="J133" s="6"/>
      <c r="K133" s="6"/>
      <c r="L133" s="6"/>
      <c r="M133" s="6"/>
      <c r="N133" s="6"/>
      <c r="O133" s="6"/>
      <c r="P133" s="6"/>
      <c r="Q133" s="6"/>
      <c r="R133" s="6"/>
      <c r="S133" s="6"/>
      <c r="T133" s="6"/>
      <c r="U133" s="6"/>
      <c r="V133" s="6"/>
      <c r="W133" s="6"/>
      <c r="X133" s="6"/>
      <c r="Y133" s="6"/>
      <c r="Z133" s="6"/>
    </row>
    <row r="134">
      <c r="A134" s="9"/>
      <c r="B134" s="9"/>
      <c r="C134" s="9"/>
      <c r="D134" s="6"/>
      <c r="E134" s="9"/>
      <c r="F134" s="6"/>
      <c r="G134" s="6"/>
      <c r="H134" s="6"/>
      <c r="I134" s="6"/>
      <c r="J134" s="6"/>
      <c r="K134" s="6"/>
      <c r="L134" s="6"/>
      <c r="M134" s="6"/>
      <c r="N134" s="6"/>
      <c r="O134" s="6"/>
      <c r="P134" s="6"/>
      <c r="Q134" s="6"/>
      <c r="R134" s="6"/>
      <c r="S134" s="6"/>
      <c r="T134" s="6"/>
      <c r="U134" s="6"/>
      <c r="V134" s="6"/>
      <c r="W134" s="6"/>
      <c r="X134" s="6"/>
      <c r="Y134" s="6"/>
      <c r="Z134" s="6"/>
    </row>
    <row r="135">
      <c r="A135" s="9"/>
      <c r="B135" s="9"/>
      <c r="C135" s="9"/>
      <c r="D135" s="6"/>
      <c r="E135" s="9"/>
      <c r="F135" s="6"/>
      <c r="G135" s="6"/>
      <c r="H135" s="6"/>
      <c r="I135" s="6"/>
      <c r="J135" s="6"/>
      <c r="K135" s="6"/>
      <c r="L135" s="6"/>
      <c r="M135" s="6"/>
      <c r="N135" s="6"/>
      <c r="O135" s="6"/>
      <c r="P135" s="6"/>
      <c r="Q135" s="6"/>
      <c r="R135" s="6"/>
      <c r="S135" s="6"/>
      <c r="T135" s="6"/>
      <c r="U135" s="6"/>
      <c r="V135" s="6"/>
      <c r="W135" s="6"/>
      <c r="X135" s="6"/>
      <c r="Y135" s="6"/>
      <c r="Z135" s="6"/>
    </row>
    <row r="136">
      <c r="A136" s="9"/>
      <c r="B136" s="9"/>
      <c r="C136" s="9"/>
      <c r="D136" s="6"/>
      <c r="E136" s="9"/>
      <c r="F136" s="6"/>
      <c r="G136" s="6"/>
      <c r="H136" s="6"/>
      <c r="I136" s="6"/>
      <c r="J136" s="6"/>
      <c r="K136" s="6"/>
      <c r="L136" s="6"/>
      <c r="M136" s="6"/>
      <c r="N136" s="6"/>
      <c r="O136" s="6"/>
      <c r="P136" s="6"/>
      <c r="Q136" s="6"/>
      <c r="R136" s="6"/>
      <c r="S136" s="6"/>
      <c r="T136" s="6"/>
      <c r="U136" s="6"/>
      <c r="V136" s="6"/>
      <c r="W136" s="6"/>
      <c r="X136" s="6"/>
      <c r="Y136" s="6"/>
      <c r="Z136" s="6"/>
    </row>
    <row r="137">
      <c r="A137" s="9"/>
      <c r="B137" s="9"/>
      <c r="C137" s="9"/>
      <c r="D137" s="6"/>
      <c r="E137" s="9"/>
      <c r="F137" s="6"/>
      <c r="G137" s="6"/>
      <c r="H137" s="6"/>
      <c r="I137" s="6"/>
      <c r="J137" s="6"/>
      <c r="K137" s="6"/>
      <c r="L137" s="6"/>
      <c r="M137" s="6"/>
      <c r="N137" s="6"/>
      <c r="O137" s="6"/>
      <c r="P137" s="6"/>
      <c r="Q137" s="6"/>
      <c r="R137" s="6"/>
      <c r="S137" s="6"/>
      <c r="T137" s="6"/>
      <c r="U137" s="6"/>
      <c r="V137" s="6"/>
      <c r="W137" s="6"/>
      <c r="X137" s="6"/>
      <c r="Y137" s="6"/>
      <c r="Z137" s="6"/>
    </row>
    <row r="138">
      <c r="A138" s="9"/>
      <c r="B138" s="9"/>
      <c r="C138" s="9"/>
      <c r="D138" s="6"/>
      <c r="E138" s="9"/>
      <c r="F138" s="6"/>
      <c r="G138" s="6"/>
      <c r="H138" s="6"/>
      <c r="I138" s="6"/>
      <c r="J138" s="6"/>
      <c r="K138" s="6"/>
      <c r="L138" s="6"/>
      <c r="M138" s="6"/>
      <c r="N138" s="6"/>
      <c r="O138" s="6"/>
      <c r="P138" s="6"/>
      <c r="Q138" s="6"/>
      <c r="R138" s="6"/>
      <c r="S138" s="6"/>
      <c r="T138" s="6"/>
      <c r="U138" s="6"/>
      <c r="V138" s="6"/>
      <c r="W138" s="6"/>
      <c r="X138" s="6"/>
      <c r="Y138" s="6"/>
      <c r="Z138" s="6"/>
    </row>
    <row r="139">
      <c r="A139" s="9"/>
      <c r="B139" s="9"/>
      <c r="C139" s="9"/>
      <c r="D139" s="6"/>
      <c r="E139" s="9"/>
      <c r="F139" s="6"/>
      <c r="G139" s="6"/>
      <c r="H139" s="6"/>
      <c r="I139" s="6"/>
      <c r="J139" s="6"/>
      <c r="K139" s="6"/>
      <c r="L139" s="6"/>
      <c r="M139" s="6"/>
      <c r="N139" s="6"/>
      <c r="O139" s="6"/>
      <c r="P139" s="6"/>
      <c r="Q139" s="6"/>
      <c r="R139" s="6"/>
      <c r="S139" s="6"/>
      <c r="T139" s="6"/>
      <c r="U139" s="6"/>
      <c r="V139" s="6"/>
      <c r="W139" s="6"/>
      <c r="X139" s="6"/>
      <c r="Y139" s="6"/>
      <c r="Z139" s="6"/>
    </row>
    <row r="140">
      <c r="A140" s="9"/>
      <c r="B140" s="9"/>
      <c r="C140" s="9"/>
      <c r="D140" s="6"/>
      <c r="E140" s="9"/>
      <c r="F140" s="6"/>
      <c r="G140" s="6"/>
      <c r="H140" s="6"/>
      <c r="I140" s="6"/>
      <c r="J140" s="6"/>
      <c r="K140" s="6"/>
      <c r="L140" s="6"/>
      <c r="M140" s="6"/>
      <c r="N140" s="6"/>
      <c r="O140" s="6"/>
      <c r="P140" s="6"/>
      <c r="Q140" s="6"/>
      <c r="R140" s="6"/>
      <c r="S140" s="6"/>
      <c r="T140" s="6"/>
      <c r="U140" s="6"/>
      <c r="V140" s="6"/>
      <c r="W140" s="6"/>
      <c r="X140" s="6"/>
      <c r="Y140" s="6"/>
      <c r="Z140" s="6"/>
    </row>
    <row r="141">
      <c r="A141" s="9"/>
      <c r="B141" s="9"/>
      <c r="C141" s="9"/>
      <c r="D141" s="6"/>
      <c r="E141" s="9"/>
      <c r="F141" s="6"/>
      <c r="G141" s="6"/>
      <c r="H141" s="6"/>
      <c r="I141" s="6"/>
      <c r="J141" s="6"/>
      <c r="K141" s="6"/>
      <c r="L141" s="6"/>
      <c r="M141" s="6"/>
      <c r="N141" s="6"/>
      <c r="O141" s="6"/>
      <c r="P141" s="6"/>
      <c r="Q141" s="6"/>
      <c r="R141" s="6"/>
      <c r="S141" s="6"/>
      <c r="T141" s="6"/>
      <c r="U141" s="6"/>
      <c r="V141" s="6"/>
      <c r="W141" s="6"/>
      <c r="X141" s="6"/>
      <c r="Y141" s="6"/>
      <c r="Z141" s="6"/>
    </row>
    <row r="142">
      <c r="A142" s="9"/>
      <c r="B142" s="9"/>
      <c r="C142" s="9"/>
      <c r="D142" s="6"/>
      <c r="E142" s="9"/>
      <c r="F142" s="6"/>
      <c r="G142" s="6"/>
      <c r="H142" s="6"/>
      <c r="I142" s="6"/>
      <c r="J142" s="6"/>
      <c r="K142" s="6"/>
      <c r="L142" s="6"/>
      <c r="M142" s="6"/>
      <c r="N142" s="6"/>
      <c r="O142" s="6"/>
      <c r="P142" s="6"/>
      <c r="Q142" s="6"/>
      <c r="R142" s="6"/>
      <c r="S142" s="6"/>
      <c r="T142" s="6"/>
      <c r="U142" s="6"/>
      <c r="V142" s="6"/>
      <c r="W142" s="6"/>
      <c r="X142" s="6"/>
      <c r="Y142" s="6"/>
      <c r="Z142" s="6"/>
    </row>
    <row r="143">
      <c r="A143" s="9"/>
      <c r="B143" s="9"/>
      <c r="C143" s="9"/>
      <c r="D143" s="6"/>
      <c r="E143" s="9"/>
      <c r="F143" s="6"/>
      <c r="G143" s="6"/>
      <c r="H143" s="6"/>
      <c r="I143" s="6"/>
      <c r="J143" s="6"/>
      <c r="K143" s="6"/>
      <c r="L143" s="6"/>
      <c r="M143" s="6"/>
      <c r="N143" s="6"/>
      <c r="O143" s="6"/>
      <c r="P143" s="6"/>
      <c r="Q143" s="6"/>
      <c r="R143" s="6"/>
      <c r="S143" s="6"/>
      <c r="T143" s="6"/>
      <c r="U143" s="6"/>
      <c r="V143" s="6"/>
      <c r="W143" s="6"/>
      <c r="X143" s="6"/>
      <c r="Y143" s="6"/>
      <c r="Z143" s="6"/>
    </row>
    <row r="144">
      <c r="A144" s="9"/>
      <c r="B144" s="9"/>
      <c r="C144" s="9"/>
      <c r="D144" s="6"/>
      <c r="E144" s="9"/>
      <c r="F144" s="6"/>
      <c r="G144" s="6"/>
      <c r="H144" s="6"/>
      <c r="I144" s="6"/>
      <c r="J144" s="6"/>
      <c r="K144" s="6"/>
      <c r="L144" s="6"/>
      <c r="M144" s="6"/>
      <c r="N144" s="6"/>
      <c r="O144" s="6"/>
      <c r="P144" s="6"/>
      <c r="Q144" s="6"/>
      <c r="R144" s="6"/>
      <c r="S144" s="6"/>
      <c r="T144" s="6"/>
      <c r="U144" s="6"/>
      <c r="V144" s="6"/>
      <c r="W144" s="6"/>
      <c r="X144" s="6"/>
      <c r="Y144" s="6"/>
      <c r="Z144" s="6"/>
    </row>
    <row r="145">
      <c r="A145" s="9"/>
      <c r="B145" s="9"/>
      <c r="C145" s="9"/>
      <c r="D145" s="6"/>
      <c r="E145" s="9"/>
      <c r="F145" s="6"/>
      <c r="G145" s="6"/>
      <c r="H145" s="6"/>
      <c r="I145" s="6"/>
      <c r="J145" s="6"/>
      <c r="K145" s="6"/>
      <c r="L145" s="6"/>
      <c r="M145" s="6"/>
      <c r="N145" s="6"/>
      <c r="O145" s="6"/>
      <c r="P145" s="6"/>
      <c r="Q145" s="6"/>
      <c r="R145" s="6"/>
      <c r="S145" s="6"/>
      <c r="T145" s="6"/>
      <c r="U145" s="6"/>
      <c r="V145" s="6"/>
      <c r="W145" s="6"/>
      <c r="X145" s="6"/>
      <c r="Y145" s="6"/>
      <c r="Z145" s="6"/>
    </row>
    <row r="146">
      <c r="A146" s="9"/>
      <c r="B146" s="9"/>
      <c r="C146" s="9"/>
      <c r="D146" s="6"/>
      <c r="E146" s="9"/>
      <c r="F146" s="6"/>
      <c r="G146" s="6"/>
      <c r="H146" s="6"/>
      <c r="I146" s="6"/>
      <c r="J146" s="6"/>
      <c r="K146" s="6"/>
      <c r="L146" s="6"/>
      <c r="M146" s="6"/>
      <c r="N146" s="6"/>
      <c r="O146" s="6"/>
      <c r="P146" s="6"/>
      <c r="Q146" s="6"/>
      <c r="R146" s="6"/>
      <c r="S146" s="6"/>
      <c r="T146" s="6"/>
      <c r="U146" s="6"/>
      <c r="V146" s="6"/>
      <c r="W146" s="6"/>
      <c r="X146" s="6"/>
      <c r="Y146" s="6"/>
      <c r="Z146" s="6"/>
    </row>
    <row r="147">
      <c r="A147" s="9"/>
      <c r="B147" s="9"/>
      <c r="C147" s="9"/>
      <c r="D147" s="6"/>
      <c r="E147" s="9"/>
      <c r="F147" s="6"/>
      <c r="G147" s="6"/>
      <c r="H147" s="6"/>
      <c r="I147" s="6"/>
      <c r="J147" s="6"/>
      <c r="K147" s="6"/>
      <c r="L147" s="6"/>
      <c r="M147" s="6"/>
      <c r="N147" s="6"/>
      <c r="O147" s="6"/>
      <c r="P147" s="6"/>
      <c r="Q147" s="6"/>
      <c r="R147" s="6"/>
      <c r="S147" s="6"/>
      <c r="T147" s="6"/>
      <c r="U147" s="6"/>
      <c r="V147" s="6"/>
      <c r="W147" s="6"/>
      <c r="X147" s="6"/>
      <c r="Y147" s="6"/>
      <c r="Z147" s="6"/>
    </row>
    <row r="148">
      <c r="A148" s="9"/>
      <c r="B148" s="9"/>
      <c r="C148" s="9"/>
      <c r="D148" s="6"/>
      <c r="E148" s="9"/>
      <c r="F148" s="6"/>
      <c r="G148" s="6"/>
      <c r="H148" s="6"/>
      <c r="I148" s="6"/>
      <c r="J148" s="6"/>
      <c r="K148" s="6"/>
      <c r="L148" s="6"/>
      <c r="M148" s="6"/>
      <c r="N148" s="6"/>
      <c r="O148" s="6"/>
      <c r="P148" s="6"/>
      <c r="Q148" s="6"/>
      <c r="R148" s="6"/>
      <c r="S148" s="6"/>
      <c r="T148" s="6"/>
      <c r="U148" s="6"/>
      <c r="V148" s="6"/>
      <c r="W148" s="6"/>
      <c r="X148" s="6"/>
      <c r="Y148" s="6"/>
      <c r="Z148" s="6"/>
    </row>
    <row r="149">
      <c r="A149" s="9"/>
      <c r="B149" s="9"/>
      <c r="C149" s="9"/>
      <c r="D149" s="6"/>
      <c r="E149" s="9"/>
      <c r="F149" s="6"/>
      <c r="G149" s="6"/>
      <c r="H149" s="6"/>
      <c r="I149" s="6"/>
      <c r="J149" s="6"/>
      <c r="K149" s="6"/>
      <c r="L149" s="6"/>
      <c r="M149" s="6"/>
      <c r="N149" s="6"/>
      <c r="O149" s="6"/>
      <c r="P149" s="6"/>
      <c r="Q149" s="6"/>
      <c r="R149" s="6"/>
      <c r="S149" s="6"/>
      <c r="T149" s="6"/>
      <c r="U149" s="6"/>
      <c r="V149" s="6"/>
      <c r="W149" s="6"/>
      <c r="X149" s="6"/>
      <c r="Y149" s="6"/>
      <c r="Z149" s="6"/>
    </row>
    <row r="150">
      <c r="A150" s="9"/>
      <c r="B150" s="9"/>
      <c r="C150" s="9"/>
      <c r="D150" s="6"/>
      <c r="E150" s="9"/>
      <c r="F150" s="6"/>
      <c r="G150" s="6"/>
      <c r="H150" s="6"/>
      <c r="I150" s="6"/>
      <c r="J150" s="6"/>
      <c r="K150" s="6"/>
      <c r="L150" s="6"/>
      <c r="M150" s="6"/>
      <c r="N150" s="6"/>
      <c r="O150" s="6"/>
      <c r="P150" s="6"/>
      <c r="Q150" s="6"/>
      <c r="R150" s="6"/>
      <c r="S150" s="6"/>
      <c r="T150" s="6"/>
      <c r="U150" s="6"/>
      <c r="V150" s="6"/>
      <c r="W150" s="6"/>
      <c r="X150" s="6"/>
      <c r="Y150" s="6"/>
      <c r="Z150" s="6"/>
    </row>
    <row r="151">
      <c r="A151" s="9"/>
      <c r="B151" s="9"/>
      <c r="C151" s="9"/>
      <c r="D151" s="6"/>
      <c r="E151" s="9"/>
      <c r="F151" s="6"/>
      <c r="G151" s="6"/>
      <c r="H151" s="6"/>
      <c r="I151" s="6"/>
      <c r="J151" s="6"/>
      <c r="K151" s="6"/>
      <c r="L151" s="6"/>
      <c r="M151" s="6"/>
      <c r="N151" s="6"/>
      <c r="O151" s="6"/>
      <c r="P151" s="6"/>
      <c r="Q151" s="6"/>
      <c r="R151" s="6"/>
      <c r="S151" s="6"/>
      <c r="T151" s="6"/>
      <c r="U151" s="6"/>
      <c r="V151" s="6"/>
      <c r="W151" s="6"/>
      <c r="X151" s="6"/>
      <c r="Y151" s="6"/>
      <c r="Z151" s="6"/>
    </row>
    <row r="152">
      <c r="A152" s="9"/>
      <c r="B152" s="9"/>
      <c r="C152" s="9"/>
      <c r="D152" s="6"/>
      <c r="E152" s="9"/>
      <c r="F152" s="6"/>
      <c r="G152" s="6"/>
      <c r="H152" s="6"/>
      <c r="I152" s="6"/>
      <c r="J152" s="6"/>
      <c r="K152" s="6"/>
      <c r="L152" s="6"/>
      <c r="M152" s="6"/>
      <c r="N152" s="6"/>
      <c r="O152" s="6"/>
      <c r="P152" s="6"/>
      <c r="Q152" s="6"/>
      <c r="R152" s="6"/>
      <c r="S152" s="6"/>
      <c r="T152" s="6"/>
      <c r="U152" s="6"/>
      <c r="V152" s="6"/>
      <c r="W152" s="6"/>
      <c r="X152" s="6"/>
      <c r="Y152" s="6"/>
      <c r="Z152" s="6"/>
    </row>
    <row r="153">
      <c r="A153" s="9"/>
      <c r="B153" s="9"/>
      <c r="C153" s="9"/>
      <c r="D153" s="6"/>
      <c r="E153" s="9"/>
      <c r="F153" s="6"/>
      <c r="G153" s="6"/>
      <c r="H153" s="6"/>
      <c r="I153" s="6"/>
      <c r="J153" s="6"/>
      <c r="K153" s="6"/>
      <c r="L153" s="6"/>
      <c r="M153" s="6"/>
      <c r="N153" s="6"/>
      <c r="O153" s="6"/>
      <c r="P153" s="6"/>
      <c r="Q153" s="6"/>
      <c r="R153" s="6"/>
      <c r="S153" s="6"/>
      <c r="T153" s="6"/>
      <c r="U153" s="6"/>
      <c r="V153" s="6"/>
      <c r="W153" s="6"/>
      <c r="X153" s="6"/>
      <c r="Y153" s="6"/>
      <c r="Z153" s="6"/>
    </row>
    <row r="154">
      <c r="A154" s="9"/>
      <c r="B154" s="9"/>
      <c r="C154" s="9"/>
      <c r="D154" s="6"/>
      <c r="E154" s="9"/>
      <c r="F154" s="6"/>
      <c r="G154" s="6"/>
      <c r="H154" s="6"/>
      <c r="I154" s="6"/>
      <c r="J154" s="6"/>
      <c r="K154" s="6"/>
      <c r="L154" s="6"/>
      <c r="M154" s="6"/>
      <c r="N154" s="6"/>
      <c r="O154" s="6"/>
      <c r="P154" s="6"/>
      <c r="Q154" s="6"/>
      <c r="R154" s="6"/>
      <c r="S154" s="6"/>
      <c r="T154" s="6"/>
      <c r="U154" s="6"/>
      <c r="V154" s="6"/>
      <c r="W154" s="6"/>
      <c r="X154" s="6"/>
      <c r="Y154" s="6"/>
      <c r="Z154" s="6"/>
    </row>
    <row r="155">
      <c r="A155" s="9"/>
      <c r="B155" s="9"/>
      <c r="C155" s="9"/>
      <c r="D155" s="6"/>
      <c r="E155" s="9"/>
      <c r="F155" s="6"/>
      <c r="G155" s="6"/>
      <c r="H155" s="6"/>
      <c r="I155" s="6"/>
      <c r="J155" s="6"/>
      <c r="K155" s="6"/>
      <c r="L155" s="6"/>
      <c r="M155" s="6"/>
      <c r="N155" s="6"/>
      <c r="O155" s="6"/>
      <c r="P155" s="6"/>
      <c r="Q155" s="6"/>
      <c r="R155" s="6"/>
      <c r="S155" s="6"/>
      <c r="T155" s="6"/>
      <c r="U155" s="6"/>
      <c r="V155" s="6"/>
      <c r="W155" s="6"/>
      <c r="X155" s="6"/>
      <c r="Y155" s="6"/>
      <c r="Z155" s="6"/>
    </row>
    <row r="156">
      <c r="A156" s="9"/>
      <c r="B156" s="9"/>
      <c r="C156" s="9"/>
      <c r="D156" s="6"/>
      <c r="E156" s="9"/>
      <c r="F156" s="6"/>
      <c r="G156" s="6"/>
      <c r="H156" s="6"/>
      <c r="I156" s="6"/>
      <c r="J156" s="6"/>
      <c r="K156" s="6"/>
      <c r="L156" s="6"/>
      <c r="M156" s="6"/>
      <c r="N156" s="6"/>
      <c r="O156" s="6"/>
      <c r="P156" s="6"/>
      <c r="Q156" s="6"/>
      <c r="R156" s="6"/>
      <c r="S156" s="6"/>
      <c r="T156" s="6"/>
      <c r="U156" s="6"/>
      <c r="V156" s="6"/>
      <c r="W156" s="6"/>
      <c r="X156" s="6"/>
      <c r="Y156" s="6"/>
      <c r="Z156" s="6"/>
    </row>
    <row r="157">
      <c r="A157" s="9"/>
      <c r="B157" s="9"/>
      <c r="C157" s="9"/>
      <c r="D157" s="6"/>
      <c r="E157" s="9"/>
      <c r="F157" s="6"/>
      <c r="G157" s="6"/>
      <c r="H157" s="6"/>
      <c r="I157" s="6"/>
      <c r="J157" s="6"/>
      <c r="K157" s="6"/>
      <c r="L157" s="6"/>
      <c r="M157" s="6"/>
      <c r="N157" s="6"/>
      <c r="O157" s="6"/>
      <c r="P157" s="6"/>
      <c r="Q157" s="6"/>
      <c r="R157" s="6"/>
      <c r="S157" s="6"/>
      <c r="T157" s="6"/>
      <c r="U157" s="6"/>
      <c r="V157" s="6"/>
      <c r="W157" s="6"/>
      <c r="X157" s="6"/>
      <c r="Y157" s="6"/>
      <c r="Z157" s="6"/>
    </row>
    <row r="158">
      <c r="A158" s="9"/>
      <c r="B158" s="9"/>
      <c r="C158" s="9"/>
      <c r="D158" s="6"/>
      <c r="E158" s="9"/>
      <c r="F158" s="6"/>
      <c r="G158" s="6"/>
      <c r="H158" s="6"/>
      <c r="I158" s="6"/>
      <c r="J158" s="6"/>
      <c r="K158" s="6"/>
      <c r="L158" s="6"/>
      <c r="M158" s="6"/>
      <c r="N158" s="6"/>
      <c r="O158" s="6"/>
      <c r="P158" s="6"/>
      <c r="Q158" s="6"/>
      <c r="R158" s="6"/>
      <c r="S158" s="6"/>
      <c r="T158" s="6"/>
      <c r="U158" s="6"/>
      <c r="V158" s="6"/>
      <c r="W158" s="6"/>
      <c r="X158" s="6"/>
      <c r="Y158" s="6"/>
      <c r="Z158" s="6"/>
    </row>
    <row r="159">
      <c r="A159" s="9"/>
      <c r="B159" s="9"/>
      <c r="C159" s="9"/>
      <c r="D159" s="6"/>
      <c r="E159" s="9"/>
      <c r="F159" s="6"/>
      <c r="G159" s="6"/>
      <c r="H159" s="6"/>
      <c r="I159" s="6"/>
      <c r="J159" s="6"/>
      <c r="K159" s="6"/>
      <c r="L159" s="6"/>
      <c r="M159" s="6"/>
      <c r="N159" s="6"/>
      <c r="O159" s="6"/>
      <c r="P159" s="6"/>
      <c r="Q159" s="6"/>
      <c r="R159" s="6"/>
      <c r="S159" s="6"/>
      <c r="T159" s="6"/>
      <c r="U159" s="6"/>
      <c r="V159" s="6"/>
      <c r="W159" s="6"/>
      <c r="X159" s="6"/>
      <c r="Y159" s="6"/>
      <c r="Z159" s="6"/>
    </row>
    <row r="160">
      <c r="A160" s="9"/>
      <c r="B160" s="9"/>
      <c r="C160" s="9"/>
      <c r="D160" s="6"/>
      <c r="E160" s="9"/>
      <c r="F160" s="6"/>
      <c r="G160" s="6"/>
      <c r="H160" s="6"/>
      <c r="I160" s="6"/>
      <c r="J160" s="6"/>
      <c r="K160" s="6"/>
      <c r="L160" s="6"/>
      <c r="M160" s="6"/>
      <c r="N160" s="6"/>
      <c r="O160" s="6"/>
      <c r="P160" s="6"/>
      <c r="Q160" s="6"/>
      <c r="R160" s="6"/>
      <c r="S160" s="6"/>
      <c r="T160" s="6"/>
      <c r="U160" s="6"/>
      <c r="V160" s="6"/>
      <c r="W160" s="6"/>
      <c r="X160" s="6"/>
      <c r="Y160" s="6"/>
      <c r="Z160" s="6"/>
    </row>
    <row r="161">
      <c r="A161" s="9"/>
      <c r="B161" s="9"/>
      <c r="C161" s="9"/>
      <c r="D161" s="6"/>
      <c r="E161" s="9"/>
      <c r="F161" s="6"/>
      <c r="G161" s="6"/>
      <c r="H161" s="6"/>
      <c r="I161" s="6"/>
      <c r="J161" s="6"/>
      <c r="K161" s="6"/>
      <c r="L161" s="6"/>
      <c r="M161" s="6"/>
      <c r="N161" s="6"/>
      <c r="O161" s="6"/>
      <c r="P161" s="6"/>
      <c r="Q161" s="6"/>
      <c r="R161" s="6"/>
      <c r="S161" s="6"/>
      <c r="T161" s="6"/>
      <c r="U161" s="6"/>
      <c r="V161" s="6"/>
      <c r="W161" s="6"/>
      <c r="X161" s="6"/>
      <c r="Y161" s="6"/>
      <c r="Z161" s="6"/>
    </row>
    <row r="162">
      <c r="A162" s="9"/>
      <c r="B162" s="9"/>
      <c r="C162" s="9"/>
      <c r="D162" s="6"/>
      <c r="E162" s="9"/>
      <c r="F162" s="6"/>
      <c r="G162" s="6"/>
      <c r="H162" s="6"/>
      <c r="I162" s="6"/>
      <c r="J162" s="6"/>
      <c r="K162" s="6"/>
      <c r="L162" s="6"/>
      <c r="M162" s="6"/>
      <c r="N162" s="6"/>
      <c r="O162" s="6"/>
      <c r="P162" s="6"/>
      <c r="Q162" s="6"/>
      <c r="R162" s="6"/>
      <c r="S162" s="6"/>
      <c r="T162" s="6"/>
      <c r="U162" s="6"/>
      <c r="V162" s="6"/>
      <c r="W162" s="6"/>
      <c r="X162" s="6"/>
      <c r="Y162" s="6"/>
      <c r="Z162" s="6"/>
    </row>
    <row r="163">
      <c r="A163" s="9"/>
      <c r="B163" s="9"/>
      <c r="C163" s="9"/>
      <c r="D163" s="6"/>
      <c r="E163" s="9"/>
      <c r="F163" s="6"/>
      <c r="G163" s="6"/>
      <c r="H163" s="6"/>
      <c r="I163" s="6"/>
      <c r="J163" s="6"/>
      <c r="K163" s="6"/>
      <c r="L163" s="6"/>
      <c r="M163" s="6"/>
      <c r="N163" s="6"/>
      <c r="O163" s="6"/>
      <c r="P163" s="6"/>
      <c r="Q163" s="6"/>
      <c r="R163" s="6"/>
      <c r="S163" s="6"/>
      <c r="T163" s="6"/>
      <c r="U163" s="6"/>
      <c r="V163" s="6"/>
      <c r="W163" s="6"/>
      <c r="X163" s="6"/>
      <c r="Y163" s="6"/>
      <c r="Z163" s="6"/>
    </row>
    <row r="164">
      <c r="A164" s="9"/>
      <c r="B164" s="9"/>
      <c r="C164" s="9"/>
      <c r="D164" s="6"/>
      <c r="E164" s="9"/>
      <c r="F164" s="6"/>
      <c r="G164" s="6"/>
      <c r="H164" s="6"/>
      <c r="I164" s="6"/>
      <c r="J164" s="6"/>
      <c r="K164" s="6"/>
      <c r="L164" s="6"/>
      <c r="M164" s="6"/>
      <c r="N164" s="6"/>
      <c r="O164" s="6"/>
      <c r="P164" s="6"/>
      <c r="Q164" s="6"/>
      <c r="R164" s="6"/>
      <c r="S164" s="6"/>
      <c r="T164" s="6"/>
      <c r="U164" s="6"/>
      <c r="V164" s="6"/>
      <c r="W164" s="6"/>
      <c r="X164" s="6"/>
      <c r="Y164" s="6"/>
      <c r="Z164" s="6"/>
    </row>
    <row r="165">
      <c r="A165" s="9"/>
      <c r="B165" s="9"/>
      <c r="C165" s="9"/>
      <c r="D165" s="6"/>
      <c r="E165" s="9"/>
      <c r="F165" s="6"/>
      <c r="G165" s="6"/>
      <c r="H165" s="6"/>
      <c r="I165" s="6"/>
      <c r="J165" s="6"/>
      <c r="K165" s="6"/>
      <c r="L165" s="6"/>
      <c r="M165" s="6"/>
      <c r="N165" s="6"/>
      <c r="O165" s="6"/>
      <c r="P165" s="6"/>
      <c r="Q165" s="6"/>
      <c r="R165" s="6"/>
      <c r="S165" s="6"/>
      <c r="T165" s="6"/>
      <c r="U165" s="6"/>
      <c r="V165" s="6"/>
      <c r="W165" s="6"/>
      <c r="X165" s="6"/>
      <c r="Y165" s="6"/>
      <c r="Z165" s="6"/>
    </row>
    <row r="166">
      <c r="A166" s="9"/>
      <c r="B166" s="9"/>
      <c r="C166" s="9"/>
      <c r="D166" s="6"/>
      <c r="E166" s="9"/>
      <c r="F166" s="6"/>
      <c r="G166" s="6"/>
      <c r="H166" s="6"/>
      <c r="I166" s="6"/>
      <c r="J166" s="6"/>
      <c r="K166" s="6"/>
      <c r="L166" s="6"/>
      <c r="M166" s="6"/>
      <c r="N166" s="6"/>
      <c r="O166" s="6"/>
      <c r="P166" s="6"/>
      <c r="Q166" s="6"/>
      <c r="R166" s="6"/>
      <c r="S166" s="6"/>
      <c r="T166" s="6"/>
      <c r="U166" s="6"/>
      <c r="V166" s="6"/>
      <c r="W166" s="6"/>
      <c r="X166" s="6"/>
      <c r="Y166" s="6"/>
      <c r="Z166" s="6"/>
    </row>
    <row r="167">
      <c r="A167" s="9"/>
      <c r="B167" s="9"/>
      <c r="C167" s="9"/>
      <c r="D167" s="6"/>
      <c r="E167" s="9"/>
      <c r="F167" s="6"/>
      <c r="G167" s="6"/>
      <c r="H167" s="6"/>
      <c r="I167" s="6"/>
      <c r="J167" s="6"/>
      <c r="K167" s="6"/>
      <c r="L167" s="6"/>
      <c r="M167" s="6"/>
      <c r="N167" s="6"/>
      <c r="O167" s="6"/>
      <c r="P167" s="6"/>
      <c r="Q167" s="6"/>
      <c r="R167" s="6"/>
      <c r="S167" s="6"/>
      <c r="T167" s="6"/>
      <c r="U167" s="6"/>
      <c r="V167" s="6"/>
      <c r="W167" s="6"/>
      <c r="X167" s="6"/>
      <c r="Y167" s="6"/>
      <c r="Z167" s="6"/>
    </row>
    <row r="168">
      <c r="A168" s="9"/>
      <c r="B168" s="9"/>
      <c r="C168" s="9"/>
      <c r="D168" s="6"/>
      <c r="E168" s="9"/>
      <c r="F168" s="6"/>
      <c r="G168" s="6"/>
      <c r="H168" s="6"/>
      <c r="I168" s="6"/>
      <c r="J168" s="6"/>
      <c r="K168" s="6"/>
      <c r="L168" s="6"/>
      <c r="M168" s="6"/>
      <c r="N168" s="6"/>
      <c r="O168" s="6"/>
      <c r="P168" s="6"/>
      <c r="Q168" s="6"/>
      <c r="R168" s="6"/>
      <c r="S168" s="6"/>
      <c r="T168" s="6"/>
      <c r="U168" s="6"/>
      <c r="V168" s="6"/>
      <c r="W168" s="6"/>
      <c r="X168" s="6"/>
      <c r="Y168" s="6"/>
      <c r="Z168" s="6"/>
    </row>
    <row r="169">
      <c r="A169" s="9"/>
      <c r="B169" s="9"/>
      <c r="C169" s="9"/>
      <c r="D169" s="6"/>
      <c r="E169" s="9"/>
      <c r="F169" s="6"/>
      <c r="G169" s="6"/>
      <c r="H169" s="6"/>
      <c r="I169" s="6"/>
      <c r="J169" s="6"/>
      <c r="K169" s="6"/>
      <c r="L169" s="6"/>
      <c r="M169" s="6"/>
      <c r="N169" s="6"/>
      <c r="O169" s="6"/>
      <c r="P169" s="6"/>
      <c r="Q169" s="6"/>
      <c r="R169" s="6"/>
      <c r="S169" s="6"/>
      <c r="T169" s="6"/>
      <c r="U169" s="6"/>
      <c r="V169" s="6"/>
      <c r="W169" s="6"/>
      <c r="X169" s="6"/>
      <c r="Y169" s="6"/>
      <c r="Z169" s="6"/>
    </row>
    <row r="170">
      <c r="A170" s="9"/>
      <c r="B170" s="9"/>
      <c r="C170" s="9"/>
      <c r="D170" s="6"/>
      <c r="E170" s="9"/>
      <c r="F170" s="6"/>
      <c r="G170" s="6"/>
      <c r="H170" s="6"/>
      <c r="I170" s="6"/>
      <c r="J170" s="6"/>
      <c r="K170" s="6"/>
      <c r="L170" s="6"/>
      <c r="M170" s="6"/>
      <c r="N170" s="6"/>
      <c r="O170" s="6"/>
      <c r="P170" s="6"/>
      <c r="Q170" s="6"/>
      <c r="R170" s="6"/>
      <c r="S170" s="6"/>
      <c r="T170" s="6"/>
      <c r="U170" s="6"/>
      <c r="V170" s="6"/>
      <c r="W170" s="6"/>
      <c r="X170" s="6"/>
      <c r="Y170" s="6"/>
      <c r="Z170" s="6"/>
    </row>
    <row r="171">
      <c r="A171" s="9"/>
      <c r="B171" s="9"/>
      <c r="C171" s="9"/>
      <c r="D171" s="6"/>
      <c r="E171" s="9"/>
      <c r="F171" s="6"/>
      <c r="G171" s="6"/>
      <c r="H171" s="6"/>
      <c r="I171" s="6"/>
      <c r="J171" s="6"/>
      <c r="K171" s="6"/>
      <c r="L171" s="6"/>
      <c r="M171" s="6"/>
      <c r="N171" s="6"/>
      <c r="O171" s="6"/>
      <c r="P171" s="6"/>
      <c r="Q171" s="6"/>
      <c r="R171" s="6"/>
      <c r="S171" s="6"/>
      <c r="T171" s="6"/>
      <c r="U171" s="6"/>
      <c r="V171" s="6"/>
      <c r="W171" s="6"/>
      <c r="X171" s="6"/>
      <c r="Y171" s="6"/>
      <c r="Z171" s="6"/>
    </row>
    <row r="172">
      <c r="A172" s="9"/>
      <c r="B172" s="9"/>
      <c r="C172" s="9"/>
      <c r="D172" s="6"/>
      <c r="E172" s="9"/>
      <c r="F172" s="6"/>
      <c r="G172" s="6"/>
      <c r="H172" s="6"/>
      <c r="I172" s="6"/>
      <c r="J172" s="6"/>
      <c r="K172" s="6"/>
      <c r="L172" s="6"/>
      <c r="M172" s="6"/>
      <c r="N172" s="6"/>
      <c r="O172" s="6"/>
      <c r="P172" s="6"/>
      <c r="Q172" s="6"/>
      <c r="R172" s="6"/>
      <c r="S172" s="6"/>
      <c r="T172" s="6"/>
      <c r="U172" s="6"/>
      <c r="V172" s="6"/>
      <c r="W172" s="6"/>
      <c r="X172" s="6"/>
      <c r="Y172" s="6"/>
      <c r="Z172" s="6"/>
    </row>
    <row r="173">
      <c r="A173" s="9"/>
      <c r="B173" s="9"/>
      <c r="C173" s="9"/>
      <c r="D173" s="6"/>
      <c r="E173" s="9"/>
      <c r="F173" s="6"/>
      <c r="G173" s="6"/>
      <c r="H173" s="6"/>
      <c r="I173" s="6"/>
      <c r="J173" s="6"/>
      <c r="K173" s="6"/>
      <c r="L173" s="6"/>
      <c r="M173" s="6"/>
      <c r="N173" s="6"/>
      <c r="O173" s="6"/>
      <c r="P173" s="6"/>
      <c r="Q173" s="6"/>
      <c r="R173" s="6"/>
      <c r="S173" s="6"/>
      <c r="T173" s="6"/>
      <c r="U173" s="6"/>
      <c r="V173" s="6"/>
      <c r="W173" s="6"/>
      <c r="X173" s="6"/>
      <c r="Y173" s="6"/>
      <c r="Z173" s="6"/>
    </row>
    <row r="174">
      <c r="A174" s="9"/>
      <c r="B174" s="9"/>
      <c r="C174" s="9"/>
      <c r="D174" s="6"/>
      <c r="E174" s="9"/>
      <c r="F174" s="6"/>
      <c r="G174" s="6"/>
      <c r="H174" s="6"/>
      <c r="I174" s="6"/>
      <c r="J174" s="6"/>
      <c r="K174" s="6"/>
      <c r="L174" s="6"/>
      <c r="M174" s="6"/>
      <c r="N174" s="6"/>
      <c r="O174" s="6"/>
      <c r="P174" s="6"/>
      <c r="Q174" s="6"/>
      <c r="R174" s="6"/>
      <c r="S174" s="6"/>
      <c r="T174" s="6"/>
      <c r="U174" s="6"/>
      <c r="V174" s="6"/>
      <c r="W174" s="6"/>
      <c r="X174" s="6"/>
      <c r="Y174" s="6"/>
      <c r="Z174" s="6"/>
    </row>
    <row r="175">
      <c r="A175" s="9"/>
      <c r="B175" s="9"/>
      <c r="C175" s="9"/>
      <c r="D175" s="6"/>
      <c r="E175" s="9"/>
      <c r="F175" s="6"/>
      <c r="G175" s="6"/>
      <c r="H175" s="6"/>
      <c r="I175" s="6"/>
      <c r="J175" s="6"/>
      <c r="K175" s="6"/>
      <c r="L175" s="6"/>
      <c r="M175" s="6"/>
      <c r="N175" s="6"/>
      <c r="O175" s="6"/>
      <c r="P175" s="6"/>
      <c r="Q175" s="6"/>
      <c r="R175" s="6"/>
      <c r="S175" s="6"/>
      <c r="T175" s="6"/>
      <c r="U175" s="6"/>
      <c r="V175" s="6"/>
      <c r="W175" s="6"/>
      <c r="X175" s="6"/>
      <c r="Y175" s="6"/>
      <c r="Z175" s="6"/>
    </row>
    <row r="176">
      <c r="A176" s="9"/>
      <c r="B176" s="9"/>
      <c r="C176" s="9"/>
      <c r="D176" s="6"/>
      <c r="E176" s="9"/>
      <c r="F176" s="6"/>
      <c r="G176" s="6"/>
      <c r="H176" s="6"/>
      <c r="I176" s="6"/>
      <c r="J176" s="6"/>
      <c r="K176" s="6"/>
      <c r="L176" s="6"/>
      <c r="M176" s="6"/>
      <c r="N176" s="6"/>
      <c r="O176" s="6"/>
      <c r="P176" s="6"/>
      <c r="Q176" s="6"/>
      <c r="R176" s="6"/>
      <c r="S176" s="6"/>
      <c r="T176" s="6"/>
      <c r="U176" s="6"/>
      <c r="V176" s="6"/>
      <c r="W176" s="6"/>
      <c r="X176" s="6"/>
      <c r="Y176" s="6"/>
      <c r="Z176" s="6"/>
    </row>
    <row r="177">
      <c r="A177" s="9"/>
      <c r="B177" s="9"/>
      <c r="C177" s="9"/>
      <c r="D177" s="6"/>
      <c r="E177" s="9"/>
      <c r="F177" s="6"/>
      <c r="G177" s="6"/>
      <c r="H177" s="6"/>
      <c r="I177" s="6"/>
      <c r="J177" s="6"/>
      <c r="K177" s="6"/>
      <c r="L177" s="6"/>
      <c r="M177" s="6"/>
      <c r="N177" s="6"/>
      <c r="O177" s="6"/>
      <c r="P177" s="6"/>
      <c r="Q177" s="6"/>
      <c r="R177" s="6"/>
      <c r="S177" s="6"/>
      <c r="T177" s="6"/>
      <c r="U177" s="6"/>
      <c r="V177" s="6"/>
      <c r="W177" s="6"/>
      <c r="X177" s="6"/>
      <c r="Y177" s="6"/>
      <c r="Z177" s="6"/>
    </row>
    <row r="178">
      <c r="A178" s="9"/>
      <c r="B178" s="9"/>
      <c r="C178" s="9"/>
      <c r="D178" s="6"/>
      <c r="E178" s="9"/>
      <c r="F178" s="6"/>
      <c r="G178" s="6"/>
      <c r="H178" s="6"/>
      <c r="I178" s="6"/>
      <c r="J178" s="6"/>
      <c r="K178" s="6"/>
      <c r="L178" s="6"/>
      <c r="M178" s="6"/>
      <c r="N178" s="6"/>
      <c r="O178" s="6"/>
      <c r="P178" s="6"/>
      <c r="Q178" s="6"/>
      <c r="R178" s="6"/>
      <c r="S178" s="6"/>
      <c r="T178" s="6"/>
      <c r="U178" s="6"/>
      <c r="V178" s="6"/>
      <c r="W178" s="6"/>
      <c r="X178" s="6"/>
      <c r="Y178" s="6"/>
      <c r="Z178" s="6"/>
    </row>
    <row r="179">
      <c r="A179" s="9"/>
      <c r="B179" s="9"/>
      <c r="C179" s="9"/>
      <c r="D179" s="6"/>
      <c r="E179" s="9"/>
      <c r="F179" s="6"/>
      <c r="G179" s="6"/>
      <c r="H179" s="6"/>
      <c r="I179" s="6"/>
      <c r="J179" s="6"/>
      <c r="K179" s="6"/>
      <c r="L179" s="6"/>
      <c r="M179" s="6"/>
      <c r="N179" s="6"/>
      <c r="O179" s="6"/>
      <c r="P179" s="6"/>
      <c r="Q179" s="6"/>
      <c r="R179" s="6"/>
      <c r="S179" s="6"/>
      <c r="T179" s="6"/>
      <c r="U179" s="6"/>
      <c r="V179" s="6"/>
      <c r="W179" s="6"/>
      <c r="X179" s="6"/>
      <c r="Y179" s="6"/>
      <c r="Z179" s="6"/>
    </row>
    <row r="180">
      <c r="A180" s="9"/>
      <c r="B180" s="9"/>
      <c r="C180" s="9"/>
      <c r="D180" s="6"/>
      <c r="E180" s="9"/>
      <c r="F180" s="6"/>
      <c r="G180" s="6"/>
      <c r="H180" s="6"/>
      <c r="I180" s="6"/>
      <c r="J180" s="6"/>
      <c r="K180" s="6"/>
      <c r="L180" s="6"/>
      <c r="M180" s="6"/>
      <c r="N180" s="6"/>
      <c r="O180" s="6"/>
      <c r="P180" s="6"/>
      <c r="Q180" s="6"/>
      <c r="R180" s="6"/>
      <c r="S180" s="6"/>
      <c r="T180" s="6"/>
      <c r="U180" s="6"/>
      <c r="V180" s="6"/>
      <c r="W180" s="6"/>
      <c r="X180" s="6"/>
      <c r="Y180" s="6"/>
      <c r="Z180" s="6"/>
    </row>
    <row r="181">
      <c r="A181" s="9"/>
      <c r="B181" s="9"/>
      <c r="C181" s="9"/>
      <c r="D181" s="6"/>
      <c r="E181" s="9"/>
      <c r="F181" s="6"/>
      <c r="G181" s="6"/>
      <c r="H181" s="6"/>
      <c r="I181" s="6"/>
      <c r="J181" s="6"/>
      <c r="K181" s="6"/>
      <c r="L181" s="6"/>
      <c r="M181" s="6"/>
      <c r="N181" s="6"/>
      <c r="O181" s="6"/>
      <c r="P181" s="6"/>
      <c r="Q181" s="6"/>
      <c r="R181" s="6"/>
      <c r="S181" s="6"/>
      <c r="T181" s="6"/>
      <c r="U181" s="6"/>
      <c r="V181" s="6"/>
      <c r="W181" s="6"/>
      <c r="X181" s="6"/>
      <c r="Y181" s="6"/>
      <c r="Z181" s="6"/>
    </row>
    <row r="182">
      <c r="A182" s="9"/>
      <c r="B182" s="9"/>
      <c r="C182" s="9"/>
      <c r="D182" s="6"/>
      <c r="E182" s="9"/>
      <c r="F182" s="6"/>
      <c r="G182" s="6"/>
      <c r="H182" s="6"/>
      <c r="I182" s="6"/>
      <c r="J182" s="6"/>
      <c r="K182" s="6"/>
      <c r="L182" s="6"/>
      <c r="M182" s="6"/>
      <c r="N182" s="6"/>
      <c r="O182" s="6"/>
      <c r="P182" s="6"/>
      <c r="Q182" s="6"/>
      <c r="R182" s="6"/>
      <c r="S182" s="6"/>
      <c r="T182" s="6"/>
      <c r="U182" s="6"/>
      <c r="V182" s="6"/>
      <c r="W182" s="6"/>
      <c r="X182" s="6"/>
      <c r="Y182" s="6"/>
      <c r="Z182" s="6"/>
    </row>
    <row r="183">
      <c r="A183" s="9"/>
      <c r="B183" s="9"/>
      <c r="C183" s="9"/>
      <c r="D183" s="6"/>
      <c r="E183" s="9"/>
      <c r="F183" s="6"/>
      <c r="G183" s="6"/>
      <c r="H183" s="6"/>
      <c r="I183" s="6"/>
      <c r="J183" s="6"/>
      <c r="K183" s="6"/>
      <c r="L183" s="6"/>
      <c r="M183" s="6"/>
      <c r="N183" s="6"/>
      <c r="O183" s="6"/>
      <c r="P183" s="6"/>
      <c r="Q183" s="6"/>
      <c r="R183" s="6"/>
      <c r="S183" s="6"/>
      <c r="T183" s="6"/>
      <c r="U183" s="6"/>
      <c r="V183" s="6"/>
      <c r="W183" s="6"/>
      <c r="X183" s="6"/>
      <c r="Y183" s="6"/>
      <c r="Z183" s="6"/>
    </row>
    <row r="184">
      <c r="A184" s="9"/>
      <c r="B184" s="9"/>
      <c r="C184" s="9"/>
      <c r="D184" s="6"/>
      <c r="E184" s="9"/>
      <c r="F184" s="6"/>
      <c r="G184" s="6"/>
      <c r="H184" s="6"/>
      <c r="I184" s="6"/>
      <c r="J184" s="6"/>
      <c r="K184" s="6"/>
      <c r="L184" s="6"/>
      <c r="M184" s="6"/>
      <c r="N184" s="6"/>
      <c r="O184" s="6"/>
      <c r="P184" s="6"/>
      <c r="Q184" s="6"/>
      <c r="R184" s="6"/>
      <c r="S184" s="6"/>
      <c r="T184" s="6"/>
      <c r="U184" s="6"/>
      <c r="V184" s="6"/>
      <c r="W184" s="6"/>
      <c r="X184" s="6"/>
      <c r="Y184" s="6"/>
      <c r="Z184" s="6"/>
    </row>
    <row r="185">
      <c r="A185" s="9"/>
      <c r="B185" s="9"/>
      <c r="C185" s="9"/>
      <c r="D185" s="6"/>
      <c r="E185" s="9"/>
      <c r="F185" s="6"/>
      <c r="G185" s="6"/>
      <c r="H185" s="6"/>
      <c r="I185" s="6"/>
      <c r="J185" s="6"/>
      <c r="K185" s="6"/>
      <c r="L185" s="6"/>
      <c r="M185" s="6"/>
      <c r="N185" s="6"/>
      <c r="O185" s="6"/>
      <c r="P185" s="6"/>
      <c r="Q185" s="6"/>
      <c r="R185" s="6"/>
      <c r="S185" s="6"/>
      <c r="T185" s="6"/>
      <c r="U185" s="6"/>
      <c r="V185" s="6"/>
      <c r="W185" s="6"/>
      <c r="X185" s="6"/>
      <c r="Y185" s="6"/>
      <c r="Z185" s="6"/>
    </row>
    <row r="186">
      <c r="A186" s="9"/>
      <c r="B186" s="9"/>
      <c r="C186" s="9"/>
      <c r="D186" s="6"/>
      <c r="E186" s="9"/>
      <c r="F186" s="6"/>
      <c r="G186" s="6"/>
      <c r="H186" s="6"/>
      <c r="I186" s="6"/>
      <c r="J186" s="6"/>
      <c r="K186" s="6"/>
      <c r="L186" s="6"/>
      <c r="M186" s="6"/>
      <c r="N186" s="6"/>
      <c r="O186" s="6"/>
      <c r="P186" s="6"/>
      <c r="Q186" s="6"/>
      <c r="R186" s="6"/>
      <c r="S186" s="6"/>
      <c r="T186" s="6"/>
      <c r="U186" s="6"/>
      <c r="V186" s="6"/>
      <c r="W186" s="6"/>
      <c r="X186" s="6"/>
      <c r="Y186" s="6"/>
      <c r="Z186" s="6"/>
    </row>
    <row r="187">
      <c r="A187" s="9"/>
      <c r="B187" s="9"/>
      <c r="C187" s="9"/>
      <c r="D187" s="6"/>
      <c r="E187" s="9"/>
      <c r="F187" s="6"/>
      <c r="G187" s="6"/>
      <c r="H187" s="6"/>
      <c r="I187" s="6"/>
      <c r="J187" s="6"/>
      <c r="K187" s="6"/>
      <c r="L187" s="6"/>
      <c r="M187" s="6"/>
      <c r="N187" s="6"/>
      <c r="O187" s="6"/>
      <c r="P187" s="6"/>
      <c r="Q187" s="6"/>
      <c r="R187" s="6"/>
      <c r="S187" s="6"/>
      <c r="T187" s="6"/>
      <c r="U187" s="6"/>
      <c r="V187" s="6"/>
      <c r="W187" s="6"/>
      <c r="X187" s="6"/>
      <c r="Y187" s="6"/>
      <c r="Z187" s="6"/>
    </row>
    <row r="188">
      <c r="A188" s="9"/>
      <c r="B188" s="9"/>
      <c r="C188" s="9"/>
      <c r="D188" s="6"/>
      <c r="E188" s="9"/>
      <c r="F188" s="6"/>
      <c r="G188" s="6"/>
      <c r="H188" s="6"/>
      <c r="I188" s="6"/>
      <c r="J188" s="6"/>
      <c r="K188" s="6"/>
      <c r="L188" s="6"/>
      <c r="M188" s="6"/>
      <c r="N188" s="6"/>
      <c r="O188" s="6"/>
      <c r="P188" s="6"/>
      <c r="Q188" s="6"/>
      <c r="R188" s="6"/>
      <c r="S188" s="6"/>
      <c r="T188" s="6"/>
      <c r="U188" s="6"/>
      <c r="V188" s="6"/>
      <c r="W188" s="6"/>
      <c r="X188" s="6"/>
      <c r="Y188" s="6"/>
      <c r="Z188" s="6"/>
    </row>
    <row r="189">
      <c r="A189" s="9"/>
      <c r="B189" s="9"/>
      <c r="C189" s="9"/>
      <c r="D189" s="6"/>
      <c r="E189" s="9"/>
      <c r="F189" s="6"/>
      <c r="G189" s="6"/>
      <c r="H189" s="6"/>
      <c r="I189" s="6"/>
      <c r="J189" s="6"/>
      <c r="K189" s="6"/>
      <c r="L189" s="6"/>
      <c r="M189" s="6"/>
      <c r="N189" s="6"/>
      <c r="O189" s="6"/>
      <c r="P189" s="6"/>
      <c r="Q189" s="6"/>
      <c r="R189" s="6"/>
      <c r="S189" s="6"/>
      <c r="T189" s="6"/>
      <c r="U189" s="6"/>
      <c r="V189" s="6"/>
      <c r="W189" s="6"/>
      <c r="X189" s="6"/>
      <c r="Y189" s="6"/>
      <c r="Z189" s="6"/>
    </row>
    <row r="190">
      <c r="A190" s="9"/>
      <c r="B190" s="9"/>
      <c r="C190" s="9"/>
      <c r="D190" s="6"/>
      <c r="E190" s="9"/>
      <c r="F190" s="6"/>
      <c r="G190" s="6"/>
      <c r="H190" s="6"/>
      <c r="I190" s="6"/>
      <c r="J190" s="6"/>
      <c r="K190" s="6"/>
      <c r="L190" s="6"/>
      <c r="M190" s="6"/>
      <c r="N190" s="6"/>
      <c r="O190" s="6"/>
      <c r="P190" s="6"/>
      <c r="Q190" s="6"/>
      <c r="R190" s="6"/>
      <c r="S190" s="6"/>
      <c r="T190" s="6"/>
      <c r="U190" s="6"/>
      <c r="V190" s="6"/>
      <c r="W190" s="6"/>
      <c r="X190" s="6"/>
      <c r="Y190" s="6"/>
      <c r="Z190" s="6"/>
    </row>
    <row r="191">
      <c r="A191" s="9"/>
      <c r="B191" s="9"/>
      <c r="C191" s="9"/>
      <c r="D191" s="6"/>
      <c r="E191" s="9"/>
      <c r="F191" s="6"/>
      <c r="G191" s="6"/>
      <c r="H191" s="6"/>
      <c r="I191" s="6"/>
      <c r="J191" s="6"/>
      <c r="K191" s="6"/>
      <c r="L191" s="6"/>
      <c r="M191" s="6"/>
      <c r="N191" s="6"/>
      <c r="O191" s="6"/>
      <c r="P191" s="6"/>
      <c r="Q191" s="6"/>
      <c r="R191" s="6"/>
      <c r="S191" s="6"/>
      <c r="T191" s="6"/>
      <c r="U191" s="6"/>
      <c r="V191" s="6"/>
      <c r="W191" s="6"/>
      <c r="X191" s="6"/>
      <c r="Y191" s="6"/>
      <c r="Z191" s="6"/>
    </row>
    <row r="192">
      <c r="A192" s="9"/>
      <c r="B192" s="9"/>
      <c r="C192" s="9"/>
      <c r="D192" s="6"/>
      <c r="E192" s="9"/>
      <c r="F192" s="6"/>
      <c r="G192" s="6"/>
      <c r="H192" s="6"/>
      <c r="I192" s="6"/>
      <c r="J192" s="6"/>
      <c r="K192" s="6"/>
      <c r="L192" s="6"/>
      <c r="M192" s="6"/>
      <c r="N192" s="6"/>
      <c r="O192" s="6"/>
      <c r="P192" s="6"/>
      <c r="Q192" s="6"/>
      <c r="R192" s="6"/>
      <c r="S192" s="6"/>
      <c r="T192" s="6"/>
      <c r="U192" s="6"/>
      <c r="V192" s="6"/>
      <c r="W192" s="6"/>
      <c r="X192" s="6"/>
      <c r="Y192" s="6"/>
      <c r="Z192" s="6"/>
    </row>
    <row r="193">
      <c r="A193" s="9"/>
      <c r="B193" s="9"/>
      <c r="C193" s="9"/>
      <c r="D193" s="6"/>
      <c r="E193" s="9"/>
      <c r="F193" s="6"/>
      <c r="G193" s="6"/>
      <c r="H193" s="6"/>
      <c r="I193" s="6"/>
      <c r="J193" s="6"/>
      <c r="K193" s="6"/>
      <c r="L193" s="6"/>
      <c r="M193" s="6"/>
      <c r="N193" s="6"/>
      <c r="O193" s="6"/>
      <c r="P193" s="6"/>
      <c r="Q193" s="6"/>
      <c r="R193" s="6"/>
      <c r="S193" s="6"/>
      <c r="T193" s="6"/>
      <c r="U193" s="6"/>
      <c r="V193" s="6"/>
      <c r="W193" s="6"/>
      <c r="X193" s="6"/>
      <c r="Y193" s="6"/>
      <c r="Z193" s="6"/>
    </row>
    <row r="194">
      <c r="A194" s="9"/>
      <c r="B194" s="9"/>
      <c r="C194" s="9"/>
      <c r="D194" s="6"/>
      <c r="E194" s="9"/>
      <c r="F194" s="6"/>
      <c r="G194" s="6"/>
      <c r="H194" s="6"/>
      <c r="I194" s="6"/>
      <c r="J194" s="6"/>
      <c r="K194" s="6"/>
      <c r="L194" s="6"/>
      <c r="M194" s="6"/>
      <c r="N194" s="6"/>
      <c r="O194" s="6"/>
      <c r="P194" s="6"/>
      <c r="Q194" s="6"/>
      <c r="R194" s="6"/>
      <c r="S194" s="6"/>
      <c r="T194" s="6"/>
      <c r="U194" s="6"/>
      <c r="V194" s="6"/>
      <c r="W194" s="6"/>
      <c r="X194" s="6"/>
      <c r="Y194" s="6"/>
      <c r="Z194" s="6"/>
    </row>
    <row r="195">
      <c r="A195" s="9"/>
      <c r="B195" s="9"/>
      <c r="C195" s="9"/>
      <c r="D195" s="6"/>
      <c r="E195" s="9"/>
      <c r="F195" s="6"/>
      <c r="G195" s="6"/>
      <c r="H195" s="6"/>
      <c r="I195" s="6"/>
      <c r="J195" s="6"/>
      <c r="K195" s="6"/>
      <c r="L195" s="6"/>
      <c r="M195" s="6"/>
      <c r="N195" s="6"/>
      <c r="O195" s="6"/>
      <c r="P195" s="6"/>
      <c r="Q195" s="6"/>
      <c r="R195" s="6"/>
      <c r="S195" s="6"/>
      <c r="T195" s="6"/>
      <c r="U195" s="6"/>
      <c r="V195" s="6"/>
      <c r="W195" s="6"/>
      <c r="X195" s="6"/>
      <c r="Y195" s="6"/>
      <c r="Z195" s="6"/>
    </row>
    <row r="196">
      <c r="A196" s="9"/>
      <c r="B196" s="9"/>
      <c r="C196" s="9"/>
      <c r="D196" s="6"/>
      <c r="E196" s="9"/>
      <c r="F196" s="6"/>
      <c r="G196" s="6"/>
      <c r="H196" s="6"/>
      <c r="I196" s="6"/>
      <c r="J196" s="6"/>
      <c r="K196" s="6"/>
      <c r="L196" s="6"/>
      <c r="M196" s="6"/>
      <c r="N196" s="6"/>
      <c r="O196" s="6"/>
      <c r="P196" s="6"/>
      <c r="Q196" s="6"/>
      <c r="R196" s="6"/>
      <c r="S196" s="6"/>
      <c r="T196" s="6"/>
      <c r="U196" s="6"/>
      <c r="V196" s="6"/>
      <c r="W196" s="6"/>
      <c r="X196" s="6"/>
      <c r="Y196" s="6"/>
      <c r="Z196" s="6"/>
    </row>
    <row r="197">
      <c r="A197" s="9"/>
      <c r="B197" s="9"/>
      <c r="C197" s="9"/>
      <c r="D197" s="6"/>
      <c r="E197" s="9"/>
      <c r="F197" s="6"/>
      <c r="G197" s="6"/>
      <c r="H197" s="6"/>
      <c r="I197" s="6"/>
      <c r="J197" s="6"/>
      <c r="K197" s="6"/>
      <c r="L197" s="6"/>
      <c r="M197" s="6"/>
      <c r="N197" s="6"/>
      <c r="O197" s="6"/>
      <c r="P197" s="6"/>
      <c r="Q197" s="6"/>
      <c r="R197" s="6"/>
      <c r="S197" s="6"/>
      <c r="T197" s="6"/>
      <c r="U197" s="6"/>
      <c r="V197" s="6"/>
      <c r="W197" s="6"/>
      <c r="X197" s="6"/>
      <c r="Y197" s="6"/>
      <c r="Z197" s="6"/>
    </row>
    <row r="198">
      <c r="A198" s="9"/>
      <c r="B198" s="9"/>
      <c r="C198" s="9"/>
      <c r="D198" s="6"/>
      <c r="E198" s="9"/>
      <c r="F198" s="6"/>
      <c r="G198" s="6"/>
      <c r="H198" s="6"/>
      <c r="I198" s="6"/>
      <c r="J198" s="6"/>
      <c r="K198" s="6"/>
      <c r="L198" s="6"/>
      <c r="M198" s="6"/>
      <c r="N198" s="6"/>
      <c r="O198" s="6"/>
      <c r="P198" s="6"/>
      <c r="Q198" s="6"/>
      <c r="R198" s="6"/>
      <c r="S198" s="6"/>
      <c r="T198" s="6"/>
      <c r="U198" s="6"/>
      <c r="V198" s="6"/>
      <c r="W198" s="6"/>
      <c r="X198" s="6"/>
      <c r="Y198" s="6"/>
      <c r="Z198" s="6"/>
    </row>
    <row r="199">
      <c r="A199" s="9"/>
      <c r="B199" s="9"/>
      <c r="C199" s="9"/>
      <c r="D199" s="6"/>
      <c r="E199" s="9"/>
      <c r="F199" s="6"/>
      <c r="G199" s="6"/>
      <c r="H199" s="6"/>
      <c r="I199" s="6"/>
      <c r="J199" s="6"/>
      <c r="K199" s="6"/>
      <c r="L199" s="6"/>
      <c r="M199" s="6"/>
      <c r="N199" s="6"/>
      <c r="O199" s="6"/>
      <c r="P199" s="6"/>
      <c r="Q199" s="6"/>
      <c r="R199" s="6"/>
      <c r="S199" s="6"/>
      <c r="T199" s="6"/>
      <c r="U199" s="6"/>
      <c r="V199" s="6"/>
      <c r="W199" s="6"/>
      <c r="X199" s="6"/>
      <c r="Y199" s="6"/>
      <c r="Z199" s="6"/>
    </row>
    <row r="200">
      <c r="A200" s="9"/>
      <c r="B200" s="9"/>
      <c r="C200" s="9"/>
      <c r="D200" s="6"/>
      <c r="E200" s="9"/>
      <c r="F200" s="6"/>
      <c r="G200" s="6"/>
      <c r="H200" s="6"/>
      <c r="I200" s="6"/>
      <c r="J200" s="6"/>
      <c r="K200" s="6"/>
      <c r="L200" s="6"/>
      <c r="M200" s="6"/>
      <c r="N200" s="6"/>
      <c r="O200" s="6"/>
      <c r="P200" s="6"/>
      <c r="Q200" s="6"/>
      <c r="R200" s="6"/>
      <c r="S200" s="6"/>
      <c r="T200" s="6"/>
      <c r="U200" s="6"/>
      <c r="V200" s="6"/>
      <c r="W200" s="6"/>
      <c r="X200" s="6"/>
      <c r="Y200" s="6"/>
      <c r="Z200" s="6"/>
    </row>
    <row r="201">
      <c r="A201" s="9"/>
      <c r="B201" s="9"/>
      <c r="C201" s="9"/>
      <c r="D201" s="6"/>
      <c r="E201" s="9"/>
      <c r="F201" s="6"/>
      <c r="G201" s="6"/>
      <c r="H201" s="6"/>
      <c r="I201" s="6"/>
      <c r="J201" s="6"/>
      <c r="K201" s="6"/>
      <c r="L201" s="6"/>
      <c r="M201" s="6"/>
      <c r="N201" s="6"/>
      <c r="O201" s="6"/>
      <c r="P201" s="6"/>
      <c r="Q201" s="6"/>
      <c r="R201" s="6"/>
      <c r="S201" s="6"/>
      <c r="T201" s="6"/>
      <c r="U201" s="6"/>
      <c r="V201" s="6"/>
      <c r="W201" s="6"/>
      <c r="X201" s="6"/>
      <c r="Y201" s="6"/>
      <c r="Z201" s="6"/>
    </row>
    <row r="202">
      <c r="A202" s="9"/>
      <c r="B202" s="9"/>
      <c r="C202" s="9"/>
      <c r="D202" s="6"/>
      <c r="E202" s="9"/>
      <c r="F202" s="6"/>
      <c r="G202" s="6"/>
      <c r="H202" s="6"/>
      <c r="I202" s="6"/>
      <c r="J202" s="6"/>
      <c r="K202" s="6"/>
      <c r="L202" s="6"/>
      <c r="M202" s="6"/>
      <c r="N202" s="6"/>
      <c r="O202" s="6"/>
      <c r="P202" s="6"/>
      <c r="Q202" s="6"/>
      <c r="R202" s="6"/>
      <c r="S202" s="6"/>
      <c r="T202" s="6"/>
      <c r="U202" s="6"/>
      <c r="V202" s="6"/>
      <c r="W202" s="6"/>
      <c r="X202" s="6"/>
      <c r="Y202" s="6"/>
      <c r="Z202" s="6"/>
    </row>
    <row r="203">
      <c r="A203" s="9"/>
      <c r="B203" s="9"/>
      <c r="C203" s="9"/>
      <c r="D203" s="6"/>
      <c r="E203" s="9"/>
      <c r="F203" s="6"/>
      <c r="G203" s="6"/>
      <c r="H203" s="6"/>
      <c r="I203" s="6"/>
      <c r="J203" s="6"/>
      <c r="K203" s="6"/>
      <c r="L203" s="6"/>
      <c r="M203" s="6"/>
      <c r="N203" s="6"/>
      <c r="O203" s="6"/>
      <c r="P203" s="6"/>
      <c r="Q203" s="6"/>
      <c r="R203" s="6"/>
      <c r="S203" s="6"/>
      <c r="T203" s="6"/>
      <c r="U203" s="6"/>
      <c r="V203" s="6"/>
      <c r="W203" s="6"/>
      <c r="X203" s="6"/>
      <c r="Y203" s="6"/>
      <c r="Z203" s="6"/>
    </row>
    <row r="204">
      <c r="A204" s="9"/>
      <c r="B204" s="9"/>
      <c r="C204" s="9"/>
      <c r="D204" s="6"/>
      <c r="E204" s="9"/>
      <c r="F204" s="6"/>
      <c r="G204" s="6"/>
      <c r="H204" s="6"/>
      <c r="I204" s="6"/>
      <c r="J204" s="6"/>
      <c r="K204" s="6"/>
      <c r="L204" s="6"/>
      <c r="M204" s="6"/>
      <c r="N204" s="6"/>
      <c r="O204" s="6"/>
      <c r="P204" s="6"/>
      <c r="Q204" s="6"/>
      <c r="R204" s="6"/>
      <c r="S204" s="6"/>
      <c r="T204" s="6"/>
      <c r="U204" s="6"/>
      <c r="V204" s="6"/>
      <c r="W204" s="6"/>
      <c r="X204" s="6"/>
      <c r="Y204" s="6"/>
      <c r="Z204" s="6"/>
    </row>
    <row r="205">
      <c r="A205" s="9"/>
      <c r="B205" s="9"/>
      <c r="C205" s="9"/>
      <c r="D205" s="6"/>
      <c r="E205" s="9"/>
      <c r="F205" s="6"/>
      <c r="G205" s="6"/>
      <c r="H205" s="6"/>
      <c r="I205" s="6"/>
      <c r="J205" s="6"/>
      <c r="K205" s="6"/>
      <c r="L205" s="6"/>
      <c r="M205" s="6"/>
      <c r="N205" s="6"/>
      <c r="O205" s="6"/>
      <c r="P205" s="6"/>
      <c r="Q205" s="6"/>
      <c r="R205" s="6"/>
      <c r="S205" s="6"/>
      <c r="T205" s="6"/>
      <c r="U205" s="6"/>
      <c r="V205" s="6"/>
      <c r="W205" s="6"/>
      <c r="X205" s="6"/>
      <c r="Y205" s="6"/>
      <c r="Z205" s="6"/>
    </row>
    <row r="206">
      <c r="A206" s="9"/>
      <c r="B206" s="9"/>
      <c r="C206" s="9"/>
      <c r="D206" s="6"/>
      <c r="E206" s="9"/>
      <c r="F206" s="6"/>
      <c r="G206" s="6"/>
      <c r="H206" s="6"/>
      <c r="I206" s="6"/>
      <c r="J206" s="6"/>
      <c r="K206" s="6"/>
      <c r="L206" s="6"/>
      <c r="M206" s="6"/>
      <c r="N206" s="6"/>
      <c r="O206" s="6"/>
      <c r="P206" s="6"/>
      <c r="Q206" s="6"/>
      <c r="R206" s="6"/>
      <c r="S206" s="6"/>
      <c r="T206" s="6"/>
      <c r="U206" s="6"/>
      <c r="V206" s="6"/>
      <c r="W206" s="6"/>
      <c r="X206" s="6"/>
      <c r="Y206" s="6"/>
      <c r="Z206" s="6"/>
    </row>
    <row r="207">
      <c r="A207" s="9"/>
      <c r="B207" s="9"/>
      <c r="C207" s="9"/>
      <c r="D207" s="6"/>
      <c r="E207" s="9"/>
      <c r="F207" s="6"/>
      <c r="G207" s="6"/>
      <c r="H207" s="6"/>
      <c r="I207" s="6"/>
      <c r="J207" s="6"/>
      <c r="K207" s="6"/>
      <c r="L207" s="6"/>
      <c r="M207" s="6"/>
      <c r="N207" s="6"/>
      <c r="O207" s="6"/>
      <c r="P207" s="6"/>
      <c r="Q207" s="6"/>
      <c r="R207" s="6"/>
      <c r="S207" s="6"/>
      <c r="T207" s="6"/>
      <c r="U207" s="6"/>
      <c r="V207" s="6"/>
      <c r="W207" s="6"/>
      <c r="X207" s="6"/>
      <c r="Y207" s="6"/>
      <c r="Z207" s="6"/>
    </row>
    <row r="208">
      <c r="A208" s="9"/>
      <c r="B208" s="9"/>
      <c r="C208" s="9"/>
      <c r="D208" s="6"/>
      <c r="E208" s="9"/>
      <c r="F208" s="6"/>
      <c r="G208" s="6"/>
      <c r="H208" s="6"/>
      <c r="I208" s="6"/>
      <c r="J208" s="6"/>
      <c r="K208" s="6"/>
      <c r="L208" s="6"/>
      <c r="M208" s="6"/>
      <c r="N208" s="6"/>
      <c r="O208" s="6"/>
      <c r="P208" s="6"/>
      <c r="Q208" s="6"/>
      <c r="R208" s="6"/>
      <c r="S208" s="6"/>
      <c r="T208" s="6"/>
      <c r="U208" s="6"/>
      <c r="V208" s="6"/>
      <c r="W208" s="6"/>
      <c r="X208" s="6"/>
      <c r="Y208" s="6"/>
      <c r="Z208" s="6"/>
    </row>
    <row r="209">
      <c r="A209" s="9"/>
      <c r="B209" s="9"/>
      <c r="C209" s="9"/>
      <c r="D209" s="6"/>
      <c r="E209" s="9"/>
      <c r="F209" s="6"/>
      <c r="G209" s="6"/>
      <c r="H209" s="6"/>
      <c r="I209" s="6"/>
      <c r="J209" s="6"/>
      <c r="K209" s="6"/>
      <c r="L209" s="6"/>
      <c r="M209" s="6"/>
      <c r="N209" s="6"/>
      <c r="O209" s="6"/>
      <c r="P209" s="6"/>
      <c r="Q209" s="6"/>
      <c r="R209" s="6"/>
      <c r="S209" s="6"/>
      <c r="T209" s="6"/>
      <c r="U209" s="6"/>
      <c r="V209" s="6"/>
      <c r="W209" s="6"/>
      <c r="X209" s="6"/>
      <c r="Y209" s="6"/>
      <c r="Z209" s="6"/>
    </row>
    <row r="210">
      <c r="A210" s="9"/>
      <c r="B210" s="9"/>
      <c r="C210" s="9"/>
      <c r="D210" s="6"/>
      <c r="E210" s="9"/>
      <c r="F210" s="6"/>
      <c r="G210" s="6"/>
      <c r="H210" s="6"/>
      <c r="I210" s="6"/>
      <c r="J210" s="6"/>
      <c r="K210" s="6"/>
      <c r="L210" s="6"/>
      <c r="M210" s="6"/>
      <c r="N210" s="6"/>
      <c r="O210" s="6"/>
      <c r="P210" s="6"/>
      <c r="Q210" s="6"/>
      <c r="R210" s="6"/>
      <c r="S210" s="6"/>
      <c r="T210" s="6"/>
      <c r="U210" s="6"/>
      <c r="V210" s="6"/>
      <c r="W210" s="6"/>
      <c r="X210" s="6"/>
      <c r="Y210" s="6"/>
      <c r="Z210" s="6"/>
    </row>
    <row r="211">
      <c r="A211" s="9"/>
      <c r="B211" s="9"/>
      <c r="C211" s="9"/>
      <c r="D211" s="6"/>
      <c r="E211" s="9"/>
      <c r="F211" s="6"/>
      <c r="G211" s="6"/>
      <c r="H211" s="6"/>
      <c r="I211" s="6"/>
      <c r="J211" s="6"/>
      <c r="K211" s="6"/>
      <c r="L211" s="6"/>
      <c r="M211" s="6"/>
      <c r="N211" s="6"/>
      <c r="O211" s="6"/>
      <c r="P211" s="6"/>
      <c r="Q211" s="6"/>
      <c r="R211" s="6"/>
      <c r="S211" s="6"/>
      <c r="T211" s="6"/>
      <c r="U211" s="6"/>
      <c r="V211" s="6"/>
      <c r="W211" s="6"/>
      <c r="X211" s="6"/>
      <c r="Y211" s="6"/>
      <c r="Z211" s="6"/>
    </row>
    <row r="212">
      <c r="A212" s="9"/>
      <c r="B212" s="9"/>
      <c r="C212" s="9"/>
      <c r="D212" s="6"/>
      <c r="E212" s="9"/>
      <c r="F212" s="6"/>
      <c r="G212" s="6"/>
      <c r="H212" s="6"/>
      <c r="I212" s="6"/>
      <c r="J212" s="6"/>
      <c r="K212" s="6"/>
      <c r="L212" s="6"/>
      <c r="M212" s="6"/>
      <c r="N212" s="6"/>
      <c r="O212" s="6"/>
      <c r="P212" s="6"/>
      <c r="Q212" s="6"/>
      <c r="R212" s="6"/>
      <c r="S212" s="6"/>
      <c r="T212" s="6"/>
      <c r="U212" s="6"/>
      <c r="V212" s="6"/>
      <c r="W212" s="6"/>
      <c r="X212" s="6"/>
      <c r="Y212" s="6"/>
      <c r="Z212" s="6"/>
    </row>
    <row r="213">
      <c r="A213" s="9"/>
      <c r="B213" s="9"/>
      <c r="C213" s="9"/>
      <c r="D213" s="6"/>
      <c r="E213" s="9"/>
      <c r="F213" s="6"/>
      <c r="G213" s="6"/>
      <c r="H213" s="6"/>
      <c r="I213" s="6"/>
      <c r="J213" s="6"/>
      <c r="K213" s="6"/>
      <c r="L213" s="6"/>
      <c r="M213" s="6"/>
      <c r="N213" s="6"/>
      <c r="O213" s="6"/>
      <c r="P213" s="6"/>
      <c r="Q213" s="6"/>
      <c r="R213" s="6"/>
      <c r="S213" s="6"/>
      <c r="T213" s="6"/>
      <c r="U213" s="6"/>
      <c r="V213" s="6"/>
      <c r="W213" s="6"/>
      <c r="X213" s="6"/>
      <c r="Y213" s="6"/>
      <c r="Z213" s="6"/>
    </row>
    <row r="214">
      <c r="A214" s="9"/>
      <c r="B214" s="9"/>
      <c r="C214" s="9"/>
      <c r="D214" s="6"/>
      <c r="E214" s="9"/>
      <c r="F214" s="6"/>
      <c r="G214" s="6"/>
      <c r="H214" s="6"/>
      <c r="I214" s="6"/>
      <c r="J214" s="6"/>
      <c r="K214" s="6"/>
      <c r="L214" s="6"/>
      <c r="M214" s="6"/>
      <c r="N214" s="6"/>
      <c r="O214" s="6"/>
      <c r="P214" s="6"/>
      <c r="Q214" s="6"/>
      <c r="R214" s="6"/>
      <c r="S214" s="6"/>
      <c r="T214" s="6"/>
      <c r="U214" s="6"/>
      <c r="V214" s="6"/>
      <c r="W214" s="6"/>
      <c r="X214" s="6"/>
      <c r="Y214" s="6"/>
      <c r="Z214" s="6"/>
    </row>
    <row r="215">
      <c r="A215" s="9"/>
      <c r="B215" s="9"/>
      <c r="C215" s="9"/>
      <c r="D215" s="6"/>
      <c r="E215" s="9"/>
      <c r="F215" s="6"/>
      <c r="G215" s="6"/>
      <c r="H215" s="6"/>
      <c r="I215" s="6"/>
      <c r="J215" s="6"/>
      <c r="K215" s="6"/>
      <c r="L215" s="6"/>
      <c r="M215" s="6"/>
      <c r="N215" s="6"/>
      <c r="O215" s="6"/>
      <c r="P215" s="6"/>
      <c r="Q215" s="6"/>
      <c r="R215" s="6"/>
      <c r="S215" s="6"/>
      <c r="T215" s="6"/>
      <c r="U215" s="6"/>
      <c r="V215" s="6"/>
      <c r="W215" s="6"/>
      <c r="X215" s="6"/>
      <c r="Y215" s="6"/>
      <c r="Z215" s="6"/>
    </row>
    <row r="216">
      <c r="A216" s="9"/>
      <c r="B216" s="9"/>
      <c r="C216" s="9"/>
      <c r="D216" s="6"/>
      <c r="E216" s="9"/>
      <c r="F216" s="6"/>
      <c r="G216" s="6"/>
      <c r="H216" s="6"/>
      <c r="I216" s="6"/>
      <c r="J216" s="6"/>
      <c r="K216" s="6"/>
      <c r="L216" s="6"/>
      <c r="M216" s="6"/>
      <c r="N216" s="6"/>
      <c r="O216" s="6"/>
      <c r="P216" s="6"/>
      <c r="Q216" s="6"/>
      <c r="R216" s="6"/>
      <c r="S216" s="6"/>
      <c r="T216" s="6"/>
      <c r="U216" s="6"/>
      <c r="V216" s="6"/>
      <c r="W216" s="6"/>
      <c r="X216" s="6"/>
      <c r="Y216" s="6"/>
      <c r="Z216" s="6"/>
    </row>
    <row r="217">
      <c r="A217" s="9"/>
      <c r="B217" s="9"/>
      <c r="C217" s="9"/>
      <c r="D217" s="6"/>
      <c r="E217" s="9"/>
      <c r="F217" s="6"/>
      <c r="G217" s="6"/>
      <c r="H217" s="6"/>
      <c r="I217" s="6"/>
      <c r="J217" s="6"/>
      <c r="K217" s="6"/>
      <c r="L217" s="6"/>
      <c r="M217" s="6"/>
      <c r="N217" s="6"/>
      <c r="O217" s="6"/>
      <c r="P217" s="6"/>
      <c r="Q217" s="6"/>
      <c r="R217" s="6"/>
      <c r="S217" s="6"/>
      <c r="T217" s="6"/>
      <c r="U217" s="6"/>
      <c r="V217" s="6"/>
      <c r="W217" s="6"/>
      <c r="X217" s="6"/>
      <c r="Y217" s="6"/>
      <c r="Z217" s="6"/>
    </row>
    <row r="218">
      <c r="A218" s="9"/>
      <c r="B218" s="9"/>
      <c r="C218" s="9"/>
      <c r="D218" s="6"/>
      <c r="E218" s="9"/>
      <c r="F218" s="6"/>
      <c r="G218" s="6"/>
      <c r="H218" s="6"/>
      <c r="I218" s="6"/>
      <c r="J218" s="6"/>
      <c r="K218" s="6"/>
      <c r="L218" s="6"/>
      <c r="M218" s="6"/>
      <c r="N218" s="6"/>
      <c r="O218" s="6"/>
      <c r="P218" s="6"/>
      <c r="Q218" s="6"/>
      <c r="R218" s="6"/>
      <c r="S218" s="6"/>
      <c r="T218" s="6"/>
      <c r="U218" s="6"/>
      <c r="V218" s="6"/>
      <c r="W218" s="6"/>
      <c r="X218" s="6"/>
      <c r="Y218" s="6"/>
      <c r="Z218" s="6"/>
    </row>
    <row r="219">
      <c r="A219" s="9"/>
      <c r="B219" s="9"/>
      <c r="C219" s="9"/>
      <c r="D219" s="6"/>
      <c r="E219" s="9"/>
      <c r="F219" s="6"/>
      <c r="G219" s="6"/>
      <c r="H219" s="6"/>
      <c r="I219" s="6"/>
      <c r="J219" s="6"/>
      <c r="K219" s="6"/>
      <c r="L219" s="6"/>
      <c r="M219" s="6"/>
      <c r="N219" s="6"/>
      <c r="O219" s="6"/>
      <c r="P219" s="6"/>
      <c r="Q219" s="6"/>
      <c r="R219" s="6"/>
      <c r="S219" s="6"/>
      <c r="T219" s="6"/>
      <c r="U219" s="6"/>
      <c r="V219" s="6"/>
      <c r="W219" s="6"/>
      <c r="X219" s="6"/>
      <c r="Y219" s="6"/>
      <c r="Z219" s="6"/>
    </row>
    <row r="220">
      <c r="A220" s="9"/>
      <c r="B220" s="9"/>
      <c r="C220" s="9"/>
      <c r="D220" s="6"/>
      <c r="E220" s="9"/>
      <c r="F220" s="6"/>
      <c r="G220" s="6"/>
      <c r="H220" s="6"/>
      <c r="I220" s="6"/>
      <c r="J220" s="6"/>
      <c r="K220" s="6"/>
      <c r="L220" s="6"/>
      <c r="M220" s="6"/>
      <c r="N220" s="6"/>
      <c r="O220" s="6"/>
      <c r="P220" s="6"/>
      <c r="Q220" s="6"/>
      <c r="R220" s="6"/>
      <c r="S220" s="6"/>
      <c r="T220" s="6"/>
      <c r="U220" s="6"/>
      <c r="V220" s="6"/>
      <c r="W220" s="6"/>
      <c r="X220" s="6"/>
      <c r="Y220" s="6"/>
      <c r="Z220" s="6"/>
    </row>
    <row r="221">
      <c r="A221" s="9"/>
      <c r="B221" s="9"/>
      <c r="C221" s="9"/>
      <c r="D221" s="6"/>
      <c r="E221" s="9"/>
      <c r="F221" s="6"/>
      <c r="G221" s="6"/>
      <c r="H221" s="6"/>
      <c r="I221" s="6"/>
      <c r="J221" s="6"/>
      <c r="K221" s="6"/>
      <c r="L221" s="6"/>
      <c r="M221" s="6"/>
      <c r="N221" s="6"/>
      <c r="O221" s="6"/>
      <c r="P221" s="6"/>
      <c r="Q221" s="6"/>
      <c r="R221" s="6"/>
      <c r="S221" s="6"/>
      <c r="T221" s="6"/>
      <c r="U221" s="6"/>
      <c r="V221" s="6"/>
      <c r="W221" s="6"/>
      <c r="X221" s="6"/>
      <c r="Y221" s="6"/>
      <c r="Z221" s="6"/>
    </row>
    <row r="222">
      <c r="A222" s="9"/>
      <c r="B222" s="9"/>
      <c r="C222" s="9"/>
      <c r="D222" s="6"/>
      <c r="E222" s="9"/>
      <c r="F222" s="6"/>
      <c r="G222" s="6"/>
      <c r="H222" s="6"/>
      <c r="I222" s="6"/>
      <c r="J222" s="6"/>
      <c r="K222" s="6"/>
      <c r="L222" s="6"/>
      <c r="M222" s="6"/>
      <c r="N222" s="6"/>
      <c r="O222" s="6"/>
      <c r="P222" s="6"/>
      <c r="Q222" s="6"/>
      <c r="R222" s="6"/>
      <c r="S222" s="6"/>
      <c r="T222" s="6"/>
      <c r="U222" s="6"/>
      <c r="V222" s="6"/>
      <c r="W222" s="6"/>
      <c r="X222" s="6"/>
      <c r="Y222" s="6"/>
      <c r="Z222" s="6"/>
    </row>
    <row r="223">
      <c r="A223" s="9"/>
      <c r="B223" s="9"/>
      <c r="C223" s="9"/>
      <c r="D223" s="6"/>
      <c r="E223" s="9"/>
      <c r="F223" s="6"/>
      <c r="G223" s="6"/>
      <c r="H223" s="6"/>
      <c r="I223" s="6"/>
      <c r="J223" s="6"/>
      <c r="K223" s="6"/>
      <c r="L223" s="6"/>
      <c r="M223" s="6"/>
      <c r="N223" s="6"/>
      <c r="O223" s="6"/>
      <c r="P223" s="6"/>
      <c r="Q223" s="6"/>
      <c r="R223" s="6"/>
      <c r="S223" s="6"/>
      <c r="T223" s="6"/>
      <c r="U223" s="6"/>
      <c r="V223" s="6"/>
      <c r="W223" s="6"/>
      <c r="X223" s="6"/>
      <c r="Y223" s="6"/>
      <c r="Z223" s="6"/>
    </row>
    <row r="224">
      <c r="A224" s="9"/>
      <c r="B224" s="9"/>
      <c r="C224" s="9"/>
      <c r="D224" s="6"/>
      <c r="E224" s="9"/>
      <c r="F224" s="6"/>
      <c r="G224" s="6"/>
      <c r="H224" s="6"/>
      <c r="I224" s="6"/>
      <c r="J224" s="6"/>
      <c r="K224" s="6"/>
      <c r="L224" s="6"/>
      <c r="M224" s="6"/>
      <c r="N224" s="6"/>
      <c r="O224" s="6"/>
      <c r="P224" s="6"/>
      <c r="Q224" s="6"/>
      <c r="R224" s="6"/>
      <c r="S224" s="6"/>
      <c r="T224" s="6"/>
      <c r="U224" s="6"/>
      <c r="V224" s="6"/>
      <c r="W224" s="6"/>
      <c r="X224" s="6"/>
      <c r="Y224" s="6"/>
      <c r="Z224" s="6"/>
    </row>
    <row r="225">
      <c r="A225" s="9"/>
      <c r="B225" s="9"/>
      <c r="C225" s="9"/>
      <c r="D225" s="6"/>
      <c r="E225" s="9"/>
      <c r="F225" s="6"/>
      <c r="G225" s="6"/>
      <c r="H225" s="6"/>
      <c r="I225" s="6"/>
      <c r="J225" s="6"/>
      <c r="K225" s="6"/>
      <c r="L225" s="6"/>
      <c r="M225" s="6"/>
      <c r="N225" s="6"/>
      <c r="O225" s="6"/>
      <c r="P225" s="6"/>
      <c r="Q225" s="6"/>
      <c r="R225" s="6"/>
      <c r="S225" s="6"/>
      <c r="T225" s="6"/>
      <c r="U225" s="6"/>
      <c r="V225" s="6"/>
      <c r="W225" s="6"/>
      <c r="X225" s="6"/>
      <c r="Y225" s="6"/>
      <c r="Z225" s="6"/>
    </row>
    <row r="226">
      <c r="A226" s="9"/>
      <c r="B226" s="9"/>
      <c r="C226" s="9"/>
      <c r="D226" s="6"/>
      <c r="E226" s="9"/>
      <c r="F226" s="6"/>
      <c r="G226" s="6"/>
      <c r="H226" s="6"/>
      <c r="I226" s="6"/>
      <c r="J226" s="6"/>
      <c r="K226" s="6"/>
      <c r="L226" s="6"/>
      <c r="M226" s="6"/>
      <c r="N226" s="6"/>
      <c r="O226" s="6"/>
      <c r="P226" s="6"/>
      <c r="Q226" s="6"/>
      <c r="R226" s="6"/>
      <c r="S226" s="6"/>
      <c r="T226" s="6"/>
      <c r="U226" s="6"/>
      <c r="V226" s="6"/>
      <c r="W226" s="6"/>
      <c r="X226" s="6"/>
      <c r="Y226" s="6"/>
      <c r="Z226" s="6"/>
    </row>
    <row r="227">
      <c r="A227" s="9"/>
      <c r="B227" s="9"/>
      <c r="C227" s="9"/>
      <c r="D227" s="6"/>
      <c r="E227" s="9"/>
      <c r="F227" s="6"/>
      <c r="G227" s="6"/>
      <c r="H227" s="6"/>
      <c r="I227" s="6"/>
      <c r="J227" s="6"/>
      <c r="K227" s="6"/>
      <c r="L227" s="6"/>
      <c r="M227" s="6"/>
      <c r="N227" s="6"/>
      <c r="O227" s="6"/>
      <c r="P227" s="6"/>
      <c r="Q227" s="6"/>
      <c r="R227" s="6"/>
      <c r="S227" s="6"/>
      <c r="T227" s="6"/>
      <c r="U227" s="6"/>
      <c r="V227" s="6"/>
      <c r="W227" s="6"/>
      <c r="X227" s="6"/>
      <c r="Y227" s="6"/>
      <c r="Z227" s="6"/>
    </row>
    <row r="228">
      <c r="A228" s="9"/>
      <c r="B228" s="9"/>
      <c r="C228" s="9"/>
      <c r="D228" s="6"/>
      <c r="E228" s="9"/>
      <c r="F228" s="6"/>
      <c r="G228" s="6"/>
      <c r="H228" s="6"/>
      <c r="I228" s="6"/>
      <c r="J228" s="6"/>
      <c r="K228" s="6"/>
      <c r="L228" s="6"/>
      <c r="M228" s="6"/>
      <c r="N228" s="6"/>
      <c r="O228" s="6"/>
      <c r="P228" s="6"/>
      <c r="Q228" s="6"/>
      <c r="R228" s="6"/>
      <c r="S228" s="6"/>
      <c r="T228" s="6"/>
      <c r="U228" s="6"/>
      <c r="V228" s="6"/>
      <c r="W228" s="6"/>
      <c r="X228" s="6"/>
      <c r="Y228" s="6"/>
      <c r="Z228" s="6"/>
    </row>
    <row r="229">
      <c r="A229" s="9"/>
      <c r="B229" s="9"/>
      <c r="C229" s="9"/>
      <c r="D229" s="6"/>
      <c r="E229" s="9"/>
      <c r="F229" s="6"/>
      <c r="G229" s="6"/>
      <c r="H229" s="6"/>
      <c r="I229" s="6"/>
      <c r="J229" s="6"/>
      <c r="K229" s="6"/>
      <c r="L229" s="6"/>
      <c r="M229" s="6"/>
      <c r="N229" s="6"/>
      <c r="O229" s="6"/>
      <c r="P229" s="6"/>
      <c r="Q229" s="6"/>
      <c r="R229" s="6"/>
      <c r="S229" s="6"/>
      <c r="T229" s="6"/>
      <c r="U229" s="6"/>
      <c r="V229" s="6"/>
      <c r="W229" s="6"/>
      <c r="X229" s="6"/>
      <c r="Y229" s="6"/>
      <c r="Z229" s="6"/>
    </row>
    <row r="230">
      <c r="A230" s="9"/>
      <c r="B230" s="9"/>
      <c r="C230" s="9"/>
      <c r="D230" s="6"/>
      <c r="E230" s="9"/>
      <c r="F230" s="6"/>
      <c r="G230" s="6"/>
      <c r="H230" s="6"/>
      <c r="I230" s="6"/>
      <c r="J230" s="6"/>
      <c r="K230" s="6"/>
      <c r="L230" s="6"/>
      <c r="M230" s="6"/>
      <c r="N230" s="6"/>
      <c r="O230" s="6"/>
      <c r="P230" s="6"/>
      <c r="Q230" s="6"/>
      <c r="R230" s="6"/>
      <c r="S230" s="6"/>
      <c r="T230" s="6"/>
      <c r="U230" s="6"/>
      <c r="V230" s="6"/>
      <c r="W230" s="6"/>
      <c r="X230" s="6"/>
      <c r="Y230" s="6"/>
      <c r="Z230" s="6"/>
    </row>
    <row r="231">
      <c r="A231" s="9"/>
      <c r="B231" s="9"/>
      <c r="C231" s="9"/>
      <c r="D231" s="6"/>
      <c r="E231" s="9"/>
      <c r="F231" s="6"/>
      <c r="G231" s="6"/>
      <c r="H231" s="6"/>
      <c r="I231" s="6"/>
      <c r="J231" s="6"/>
      <c r="K231" s="6"/>
      <c r="L231" s="6"/>
      <c r="M231" s="6"/>
      <c r="N231" s="6"/>
      <c r="O231" s="6"/>
      <c r="P231" s="6"/>
      <c r="Q231" s="6"/>
      <c r="R231" s="6"/>
      <c r="S231" s="6"/>
      <c r="T231" s="6"/>
      <c r="U231" s="6"/>
      <c r="V231" s="6"/>
      <c r="W231" s="6"/>
      <c r="X231" s="6"/>
      <c r="Y231" s="6"/>
      <c r="Z231" s="6"/>
    </row>
    <row r="232">
      <c r="A232" s="9"/>
      <c r="B232" s="9"/>
      <c r="C232" s="9"/>
      <c r="D232" s="6"/>
      <c r="E232" s="9"/>
      <c r="F232" s="6"/>
      <c r="G232" s="6"/>
      <c r="H232" s="6"/>
      <c r="I232" s="6"/>
      <c r="J232" s="6"/>
      <c r="K232" s="6"/>
      <c r="L232" s="6"/>
      <c r="M232" s="6"/>
      <c r="N232" s="6"/>
      <c r="O232" s="6"/>
      <c r="P232" s="6"/>
      <c r="Q232" s="6"/>
      <c r="R232" s="6"/>
      <c r="S232" s="6"/>
      <c r="T232" s="6"/>
      <c r="U232" s="6"/>
      <c r="V232" s="6"/>
      <c r="W232" s="6"/>
      <c r="X232" s="6"/>
      <c r="Y232" s="6"/>
      <c r="Z232" s="6"/>
    </row>
    <row r="233">
      <c r="A233" s="9"/>
      <c r="B233" s="9"/>
      <c r="C233" s="9"/>
      <c r="D233" s="6"/>
      <c r="E233" s="9"/>
      <c r="F233" s="6"/>
      <c r="G233" s="6"/>
      <c r="H233" s="6"/>
      <c r="I233" s="6"/>
      <c r="J233" s="6"/>
      <c r="K233" s="6"/>
      <c r="L233" s="6"/>
      <c r="M233" s="6"/>
      <c r="N233" s="6"/>
      <c r="O233" s="6"/>
      <c r="P233" s="6"/>
      <c r="Q233" s="6"/>
      <c r="R233" s="6"/>
      <c r="S233" s="6"/>
      <c r="T233" s="6"/>
      <c r="U233" s="6"/>
      <c r="V233" s="6"/>
      <c r="W233" s="6"/>
      <c r="X233" s="6"/>
      <c r="Y233" s="6"/>
      <c r="Z233" s="6"/>
    </row>
    <row r="234">
      <c r="A234" s="9"/>
      <c r="B234" s="9"/>
      <c r="C234" s="9"/>
      <c r="D234" s="6"/>
      <c r="E234" s="9"/>
      <c r="F234" s="6"/>
      <c r="G234" s="6"/>
      <c r="H234" s="6"/>
      <c r="I234" s="6"/>
      <c r="J234" s="6"/>
      <c r="K234" s="6"/>
      <c r="L234" s="6"/>
      <c r="M234" s="6"/>
      <c r="N234" s="6"/>
      <c r="O234" s="6"/>
      <c r="P234" s="6"/>
      <c r="Q234" s="6"/>
      <c r="R234" s="6"/>
      <c r="S234" s="6"/>
      <c r="T234" s="6"/>
      <c r="U234" s="6"/>
      <c r="V234" s="6"/>
      <c r="W234" s="6"/>
      <c r="X234" s="6"/>
      <c r="Y234" s="6"/>
      <c r="Z234" s="6"/>
    </row>
    <row r="235">
      <c r="A235" s="9"/>
      <c r="B235" s="9"/>
      <c r="C235" s="9"/>
      <c r="D235" s="6"/>
      <c r="E235" s="9"/>
      <c r="F235" s="6"/>
      <c r="G235" s="6"/>
      <c r="H235" s="6"/>
      <c r="I235" s="6"/>
      <c r="J235" s="6"/>
      <c r="K235" s="6"/>
      <c r="L235" s="6"/>
      <c r="M235" s="6"/>
      <c r="N235" s="6"/>
      <c r="O235" s="6"/>
      <c r="P235" s="6"/>
      <c r="Q235" s="6"/>
      <c r="R235" s="6"/>
      <c r="S235" s="6"/>
      <c r="T235" s="6"/>
      <c r="U235" s="6"/>
      <c r="V235" s="6"/>
      <c r="W235" s="6"/>
      <c r="X235" s="6"/>
      <c r="Y235" s="6"/>
      <c r="Z235" s="6"/>
    </row>
    <row r="236">
      <c r="A236" s="9"/>
      <c r="B236" s="9"/>
      <c r="C236" s="9"/>
      <c r="D236" s="6"/>
      <c r="E236" s="9"/>
      <c r="F236" s="6"/>
      <c r="G236" s="6"/>
      <c r="H236" s="6"/>
      <c r="I236" s="6"/>
      <c r="J236" s="6"/>
      <c r="K236" s="6"/>
      <c r="L236" s="6"/>
      <c r="M236" s="6"/>
      <c r="N236" s="6"/>
      <c r="O236" s="6"/>
      <c r="P236" s="6"/>
      <c r="Q236" s="6"/>
      <c r="R236" s="6"/>
      <c r="S236" s="6"/>
      <c r="T236" s="6"/>
      <c r="U236" s="6"/>
      <c r="V236" s="6"/>
      <c r="W236" s="6"/>
      <c r="X236" s="6"/>
      <c r="Y236" s="6"/>
      <c r="Z236" s="6"/>
    </row>
    <row r="237">
      <c r="A237" s="9"/>
      <c r="B237" s="9"/>
      <c r="C237" s="9"/>
      <c r="D237" s="6"/>
      <c r="E237" s="9"/>
      <c r="F237" s="6"/>
      <c r="G237" s="6"/>
      <c r="H237" s="6"/>
      <c r="I237" s="6"/>
      <c r="J237" s="6"/>
      <c r="K237" s="6"/>
      <c r="L237" s="6"/>
      <c r="M237" s="6"/>
      <c r="N237" s="6"/>
      <c r="O237" s="6"/>
      <c r="P237" s="6"/>
      <c r="Q237" s="6"/>
      <c r="R237" s="6"/>
      <c r="S237" s="6"/>
      <c r="T237" s="6"/>
      <c r="U237" s="6"/>
      <c r="V237" s="6"/>
      <c r="W237" s="6"/>
      <c r="X237" s="6"/>
      <c r="Y237" s="6"/>
      <c r="Z237" s="6"/>
    </row>
    <row r="238">
      <c r="A238" s="9"/>
      <c r="B238" s="9"/>
      <c r="C238" s="9"/>
      <c r="D238" s="6"/>
      <c r="E238" s="9"/>
      <c r="F238" s="6"/>
      <c r="G238" s="6"/>
      <c r="H238" s="6"/>
      <c r="I238" s="6"/>
      <c r="J238" s="6"/>
      <c r="K238" s="6"/>
      <c r="L238" s="6"/>
      <c r="M238" s="6"/>
      <c r="N238" s="6"/>
      <c r="O238" s="6"/>
      <c r="P238" s="6"/>
      <c r="Q238" s="6"/>
      <c r="R238" s="6"/>
      <c r="S238" s="6"/>
      <c r="T238" s="6"/>
      <c r="U238" s="6"/>
      <c r="V238" s="6"/>
      <c r="W238" s="6"/>
      <c r="X238" s="6"/>
      <c r="Y238" s="6"/>
      <c r="Z238" s="6"/>
    </row>
    <row r="239">
      <c r="A239" s="9"/>
      <c r="B239" s="9"/>
      <c r="C239" s="9"/>
      <c r="D239" s="6"/>
      <c r="E239" s="9"/>
      <c r="F239" s="6"/>
      <c r="G239" s="6"/>
      <c r="H239" s="6"/>
      <c r="I239" s="6"/>
      <c r="J239" s="6"/>
      <c r="K239" s="6"/>
      <c r="L239" s="6"/>
      <c r="M239" s="6"/>
      <c r="N239" s="6"/>
      <c r="O239" s="6"/>
      <c r="P239" s="6"/>
      <c r="Q239" s="6"/>
      <c r="R239" s="6"/>
      <c r="S239" s="6"/>
      <c r="T239" s="6"/>
      <c r="U239" s="6"/>
      <c r="V239" s="6"/>
      <c r="W239" s="6"/>
      <c r="X239" s="6"/>
      <c r="Y239" s="6"/>
      <c r="Z239" s="6"/>
    </row>
    <row r="240">
      <c r="A240" s="9"/>
      <c r="B240" s="9"/>
      <c r="C240" s="9"/>
      <c r="D240" s="6"/>
      <c r="E240" s="9"/>
      <c r="F240" s="6"/>
      <c r="G240" s="6"/>
      <c r="H240" s="6"/>
      <c r="I240" s="6"/>
      <c r="J240" s="6"/>
      <c r="K240" s="6"/>
      <c r="L240" s="6"/>
      <c r="M240" s="6"/>
      <c r="N240" s="6"/>
      <c r="O240" s="6"/>
      <c r="P240" s="6"/>
      <c r="Q240" s="6"/>
      <c r="R240" s="6"/>
      <c r="S240" s="6"/>
      <c r="T240" s="6"/>
      <c r="U240" s="6"/>
      <c r="V240" s="6"/>
      <c r="W240" s="6"/>
      <c r="X240" s="6"/>
      <c r="Y240" s="6"/>
      <c r="Z240" s="6"/>
    </row>
    <row r="241">
      <c r="A241" s="9"/>
      <c r="B241" s="9"/>
      <c r="C241" s="9"/>
      <c r="D241" s="6"/>
      <c r="E241" s="9"/>
      <c r="F241" s="6"/>
      <c r="G241" s="6"/>
      <c r="H241" s="6"/>
      <c r="I241" s="6"/>
      <c r="J241" s="6"/>
      <c r="K241" s="6"/>
      <c r="L241" s="6"/>
      <c r="M241" s="6"/>
      <c r="N241" s="6"/>
      <c r="O241" s="6"/>
      <c r="P241" s="6"/>
      <c r="Q241" s="6"/>
      <c r="R241" s="6"/>
      <c r="S241" s="6"/>
      <c r="T241" s="6"/>
      <c r="U241" s="6"/>
      <c r="V241" s="6"/>
      <c r="W241" s="6"/>
      <c r="X241" s="6"/>
      <c r="Y241" s="6"/>
      <c r="Z241" s="6"/>
    </row>
    <row r="242">
      <c r="A242" s="9"/>
      <c r="B242" s="9"/>
      <c r="C242" s="9"/>
      <c r="D242" s="6"/>
      <c r="E242" s="9"/>
      <c r="F242" s="6"/>
      <c r="G242" s="6"/>
      <c r="H242" s="6"/>
      <c r="I242" s="6"/>
      <c r="J242" s="6"/>
      <c r="K242" s="6"/>
      <c r="L242" s="6"/>
      <c r="M242" s="6"/>
      <c r="N242" s="6"/>
      <c r="O242" s="6"/>
      <c r="P242" s="6"/>
      <c r="Q242" s="6"/>
      <c r="R242" s="6"/>
      <c r="S242" s="6"/>
      <c r="T242" s="6"/>
      <c r="U242" s="6"/>
      <c r="V242" s="6"/>
      <c r="W242" s="6"/>
      <c r="X242" s="6"/>
      <c r="Y242" s="6"/>
      <c r="Z242" s="6"/>
    </row>
    <row r="243">
      <c r="A243" s="9"/>
      <c r="B243" s="9"/>
      <c r="C243" s="9"/>
      <c r="D243" s="6"/>
      <c r="E243" s="9"/>
      <c r="F243" s="6"/>
      <c r="G243" s="6"/>
      <c r="H243" s="6"/>
      <c r="I243" s="6"/>
      <c r="J243" s="6"/>
      <c r="K243" s="6"/>
      <c r="L243" s="6"/>
      <c r="M243" s="6"/>
      <c r="N243" s="6"/>
      <c r="O243" s="6"/>
      <c r="P243" s="6"/>
      <c r="Q243" s="6"/>
      <c r="R243" s="6"/>
      <c r="S243" s="6"/>
      <c r="T243" s="6"/>
      <c r="U243" s="6"/>
      <c r="V243" s="6"/>
      <c r="W243" s="6"/>
      <c r="X243" s="6"/>
      <c r="Y243" s="6"/>
      <c r="Z243" s="6"/>
    </row>
    <row r="244">
      <c r="A244" s="9"/>
      <c r="B244" s="9"/>
      <c r="C244" s="9"/>
      <c r="D244" s="6"/>
      <c r="E244" s="9"/>
      <c r="F244" s="6"/>
      <c r="G244" s="6"/>
      <c r="H244" s="6"/>
      <c r="I244" s="6"/>
      <c r="J244" s="6"/>
      <c r="K244" s="6"/>
      <c r="L244" s="6"/>
      <c r="M244" s="6"/>
      <c r="N244" s="6"/>
      <c r="O244" s="6"/>
      <c r="P244" s="6"/>
      <c r="Q244" s="6"/>
      <c r="R244" s="6"/>
      <c r="S244" s="6"/>
      <c r="T244" s="6"/>
      <c r="U244" s="6"/>
      <c r="V244" s="6"/>
      <c r="W244" s="6"/>
      <c r="X244" s="6"/>
      <c r="Y244" s="6"/>
      <c r="Z244" s="6"/>
    </row>
    <row r="245">
      <c r="A245" s="9"/>
      <c r="B245" s="9"/>
      <c r="C245" s="9"/>
      <c r="D245" s="6"/>
      <c r="E245" s="9"/>
      <c r="F245" s="6"/>
      <c r="G245" s="6"/>
      <c r="H245" s="6"/>
      <c r="I245" s="6"/>
      <c r="J245" s="6"/>
      <c r="K245" s="6"/>
      <c r="L245" s="6"/>
      <c r="M245" s="6"/>
      <c r="N245" s="6"/>
      <c r="O245" s="6"/>
      <c r="P245" s="6"/>
      <c r="Q245" s="6"/>
      <c r="R245" s="6"/>
      <c r="S245" s="6"/>
      <c r="T245" s="6"/>
      <c r="U245" s="6"/>
      <c r="V245" s="6"/>
      <c r="W245" s="6"/>
      <c r="X245" s="6"/>
      <c r="Y245" s="6"/>
      <c r="Z245" s="6"/>
    </row>
    <row r="246">
      <c r="A246" s="9"/>
      <c r="B246" s="9"/>
      <c r="C246" s="9"/>
      <c r="D246" s="6"/>
      <c r="E246" s="9"/>
      <c r="F246" s="6"/>
      <c r="G246" s="6"/>
      <c r="H246" s="6"/>
      <c r="I246" s="6"/>
      <c r="J246" s="6"/>
      <c r="K246" s="6"/>
      <c r="L246" s="6"/>
      <c r="M246" s="6"/>
      <c r="N246" s="6"/>
      <c r="O246" s="6"/>
      <c r="P246" s="6"/>
      <c r="Q246" s="6"/>
      <c r="R246" s="6"/>
      <c r="S246" s="6"/>
      <c r="T246" s="6"/>
      <c r="U246" s="6"/>
      <c r="V246" s="6"/>
      <c r="W246" s="6"/>
      <c r="X246" s="6"/>
      <c r="Y246" s="6"/>
      <c r="Z246" s="6"/>
    </row>
    <row r="247">
      <c r="A247" s="9"/>
      <c r="B247" s="9"/>
      <c r="C247" s="9"/>
      <c r="D247" s="6"/>
      <c r="E247" s="9"/>
      <c r="F247" s="6"/>
      <c r="G247" s="6"/>
      <c r="H247" s="6"/>
      <c r="I247" s="6"/>
      <c r="J247" s="6"/>
      <c r="K247" s="6"/>
      <c r="L247" s="6"/>
      <c r="M247" s="6"/>
      <c r="N247" s="6"/>
      <c r="O247" s="6"/>
      <c r="P247" s="6"/>
      <c r="Q247" s="6"/>
      <c r="R247" s="6"/>
      <c r="S247" s="6"/>
      <c r="T247" s="6"/>
      <c r="U247" s="6"/>
      <c r="V247" s="6"/>
      <c r="W247" s="6"/>
      <c r="X247" s="6"/>
      <c r="Y247" s="6"/>
      <c r="Z247" s="6"/>
    </row>
    <row r="248">
      <c r="A248" s="9"/>
      <c r="B248" s="9"/>
      <c r="C248" s="9"/>
      <c r="D248" s="6"/>
      <c r="E248" s="9"/>
      <c r="F248" s="6"/>
      <c r="G248" s="6"/>
      <c r="H248" s="6"/>
      <c r="I248" s="6"/>
      <c r="J248" s="6"/>
      <c r="K248" s="6"/>
      <c r="L248" s="6"/>
      <c r="M248" s="6"/>
      <c r="N248" s="6"/>
      <c r="O248" s="6"/>
      <c r="P248" s="6"/>
      <c r="Q248" s="6"/>
      <c r="R248" s="6"/>
      <c r="S248" s="6"/>
      <c r="T248" s="6"/>
      <c r="U248" s="6"/>
      <c r="V248" s="6"/>
      <c r="W248" s="6"/>
      <c r="X248" s="6"/>
      <c r="Y248" s="6"/>
      <c r="Z248" s="6"/>
    </row>
    <row r="249">
      <c r="A249" s="9"/>
      <c r="B249" s="9"/>
      <c r="C249" s="9"/>
      <c r="D249" s="6"/>
      <c r="E249" s="9"/>
      <c r="F249" s="6"/>
      <c r="G249" s="6"/>
      <c r="H249" s="6"/>
      <c r="I249" s="6"/>
      <c r="J249" s="6"/>
      <c r="K249" s="6"/>
      <c r="L249" s="6"/>
      <c r="M249" s="6"/>
      <c r="N249" s="6"/>
      <c r="O249" s="6"/>
      <c r="P249" s="6"/>
      <c r="Q249" s="6"/>
      <c r="R249" s="6"/>
      <c r="S249" s="6"/>
      <c r="T249" s="6"/>
      <c r="U249" s="6"/>
      <c r="V249" s="6"/>
      <c r="W249" s="6"/>
      <c r="X249" s="6"/>
      <c r="Y249" s="6"/>
      <c r="Z249" s="6"/>
    </row>
    <row r="250">
      <c r="A250" s="9"/>
      <c r="B250" s="9"/>
      <c r="C250" s="9"/>
      <c r="D250" s="6"/>
      <c r="E250" s="9"/>
      <c r="F250" s="6"/>
      <c r="G250" s="6"/>
      <c r="H250" s="6"/>
      <c r="I250" s="6"/>
      <c r="J250" s="6"/>
      <c r="K250" s="6"/>
      <c r="L250" s="6"/>
      <c r="M250" s="6"/>
      <c r="N250" s="6"/>
      <c r="O250" s="6"/>
      <c r="P250" s="6"/>
      <c r="Q250" s="6"/>
      <c r="R250" s="6"/>
      <c r="S250" s="6"/>
      <c r="T250" s="6"/>
      <c r="U250" s="6"/>
      <c r="V250" s="6"/>
      <c r="W250" s="6"/>
      <c r="X250" s="6"/>
      <c r="Y250" s="6"/>
      <c r="Z250" s="6"/>
    </row>
    <row r="251">
      <c r="A251" s="9"/>
      <c r="B251" s="9"/>
      <c r="C251" s="9"/>
      <c r="D251" s="6"/>
      <c r="E251" s="9"/>
      <c r="F251" s="6"/>
      <c r="G251" s="6"/>
      <c r="H251" s="6"/>
      <c r="I251" s="6"/>
      <c r="J251" s="6"/>
      <c r="K251" s="6"/>
      <c r="L251" s="6"/>
      <c r="M251" s="6"/>
      <c r="N251" s="6"/>
      <c r="O251" s="6"/>
      <c r="P251" s="6"/>
      <c r="Q251" s="6"/>
      <c r="R251" s="6"/>
      <c r="S251" s="6"/>
      <c r="T251" s="6"/>
      <c r="U251" s="6"/>
      <c r="V251" s="6"/>
      <c r="W251" s="6"/>
      <c r="X251" s="6"/>
      <c r="Y251" s="6"/>
      <c r="Z251" s="6"/>
    </row>
    <row r="252">
      <c r="A252" s="9"/>
      <c r="B252" s="9"/>
      <c r="C252" s="9"/>
      <c r="D252" s="6"/>
      <c r="E252" s="9"/>
      <c r="F252" s="6"/>
      <c r="G252" s="6"/>
      <c r="H252" s="6"/>
      <c r="I252" s="6"/>
      <c r="J252" s="6"/>
      <c r="K252" s="6"/>
      <c r="L252" s="6"/>
      <c r="M252" s="6"/>
      <c r="N252" s="6"/>
      <c r="O252" s="6"/>
      <c r="P252" s="6"/>
      <c r="Q252" s="6"/>
      <c r="R252" s="6"/>
      <c r="S252" s="6"/>
      <c r="T252" s="6"/>
      <c r="U252" s="6"/>
      <c r="V252" s="6"/>
      <c r="W252" s="6"/>
      <c r="X252" s="6"/>
      <c r="Y252" s="6"/>
      <c r="Z252" s="6"/>
    </row>
    <row r="253">
      <c r="A253" s="9"/>
      <c r="B253" s="9"/>
      <c r="C253" s="9"/>
      <c r="D253" s="6"/>
      <c r="E253" s="9"/>
      <c r="F253" s="6"/>
      <c r="G253" s="6"/>
      <c r="H253" s="6"/>
      <c r="I253" s="6"/>
      <c r="J253" s="6"/>
      <c r="K253" s="6"/>
      <c r="L253" s="6"/>
      <c r="M253" s="6"/>
      <c r="N253" s="6"/>
      <c r="O253" s="6"/>
      <c r="P253" s="6"/>
      <c r="Q253" s="6"/>
      <c r="R253" s="6"/>
      <c r="S253" s="6"/>
      <c r="T253" s="6"/>
      <c r="U253" s="6"/>
      <c r="V253" s="6"/>
      <c r="W253" s="6"/>
      <c r="X253" s="6"/>
      <c r="Y253" s="6"/>
      <c r="Z253" s="6"/>
    </row>
    <row r="254">
      <c r="A254" s="9"/>
      <c r="B254" s="9"/>
      <c r="C254" s="9"/>
      <c r="D254" s="6"/>
      <c r="E254" s="9"/>
      <c r="F254" s="6"/>
      <c r="G254" s="6"/>
      <c r="H254" s="6"/>
      <c r="I254" s="6"/>
      <c r="J254" s="6"/>
      <c r="K254" s="6"/>
      <c r="L254" s="6"/>
      <c r="M254" s="6"/>
      <c r="N254" s="6"/>
      <c r="O254" s="6"/>
      <c r="P254" s="6"/>
      <c r="Q254" s="6"/>
      <c r="R254" s="6"/>
      <c r="S254" s="6"/>
      <c r="T254" s="6"/>
      <c r="U254" s="6"/>
      <c r="V254" s="6"/>
      <c r="W254" s="6"/>
      <c r="X254" s="6"/>
      <c r="Y254" s="6"/>
      <c r="Z254" s="6"/>
    </row>
    <row r="255">
      <c r="A255" s="9"/>
      <c r="B255" s="9"/>
      <c r="C255" s="9"/>
      <c r="D255" s="6"/>
      <c r="E255" s="9"/>
      <c r="F255" s="6"/>
      <c r="G255" s="6"/>
      <c r="H255" s="6"/>
      <c r="I255" s="6"/>
      <c r="J255" s="6"/>
      <c r="K255" s="6"/>
      <c r="L255" s="6"/>
      <c r="M255" s="6"/>
      <c r="N255" s="6"/>
      <c r="O255" s="6"/>
      <c r="P255" s="6"/>
      <c r="Q255" s="6"/>
      <c r="R255" s="6"/>
      <c r="S255" s="6"/>
      <c r="T255" s="6"/>
      <c r="U255" s="6"/>
      <c r="V255" s="6"/>
      <c r="W255" s="6"/>
      <c r="X255" s="6"/>
      <c r="Y255" s="6"/>
      <c r="Z255" s="6"/>
    </row>
    <row r="256">
      <c r="A256" s="9"/>
      <c r="B256" s="9"/>
      <c r="C256" s="9"/>
      <c r="D256" s="6"/>
      <c r="E256" s="9"/>
      <c r="F256" s="6"/>
      <c r="G256" s="6"/>
      <c r="H256" s="6"/>
      <c r="I256" s="6"/>
      <c r="J256" s="6"/>
      <c r="K256" s="6"/>
      <c r="L256" s="6"/>
      <c r="M256" s="6"/>
      <c r="N256" s="6"/>
      <c r="O256" s="6"/>
      <c r="P256" s="6"/>
      <c r="Q256" s="6"/>
      <c r="R256" s="6"/>
      <c r="S256" s="6"/>
      <c r="T256" s="6"/>
      <c r="U256" s="6"/>
      <c r="V256" s="6"/>
      <c r="W256" s="6"/>
      <c r="X256" s="6"/>
      <c r="Y256" s="6"/>
      <c r="Z256" s="6"/>
    </row>
    <row r="257">
      <c r="A257" s="9"/>
      <c r="B257" s="9"/>
      <c r="C257" s="9"/>
      <c r="D257" s="6"/>
      <c r="E257" s="9"/>
      <c r="F257" s="6"/>
      <c r="G257" s="6"/>
      <c r="H257" s="6"/>
      <c r="I257" s="6"/>
      <c r="J257" s="6"/>
      <c r="K257" s="6"/>
      <c r="L257" s="6"/>
      <c r="M257" s="6"/>
      <c r="N257" s="6"/>
      <c r="O257" s="6"/>
      <c r="P257" s="6"/>
      <c r="Q257" s="6"/>
      <c r="R257" s="6"/>
      <c r="S257" s="6"/>
      <c r="T257" s="6"/>
      <c r="U257" s="6"/>
      <c r="V257" s="6"/>
      <c r="W257" s="6"/>
      <c r="X257" s="6"/>
      <c r="Y257" s="6"/>
      <c r="Z257" s="6"/>
    </row>
    <row r="258">
      <c r="A258" s="9"/>
      <c r="B258" s="9"/>
      <c r="C258" s="9"/>
      <c r="D258" s="6"/>
      <c r="E258" s="9"/>
      <c r="F258" s="6"/>
      <c r="G258" s="6"/>
      <c r="H258" s="6"/>
      <c r="I258" s="6"/>
      <c r="J258" s="6"/>
      <c r="K258" s="6"/>
      <c r="L258" s="6"/>
      <c r="M258" s="6"/>
      <c r="N258" s="6"/>
      <c r="O258" s="6"/>
      <c r="P258" s="6"/>
      <c r="Q258" s="6"/>
      <c r="R258" s="6"/>
      <c r="S258" s="6"/>
      <c r="T258" s="6"/>
      <c r="U258" s="6"/>
      <c r="V258" s="6"/>
      <c r="W258" s="6"/>
      <c r="X258" s="6"/>
      <c r="Y258" s="6"/>
      <c r="Z258" s="6"/>
    </row>
    <row r="259">
      <c r="A259" s="9"/>
      <c r="B259" s="9"/>
      <c r="C259" s="9"/>
      <c r="D259" s="6"/>
      <c r="E259" s="9"/>
      <c r="F259" s="6"/>
      <c r="G259" s="6"/>
      <c r="H259" s="6"/>
      <c r="I259" s="6"/>
      <c r="J259" s="6"/>
      <c r="K259" s="6"/>
      <c r="L259" s="6"/>
      <c r="M259" s="6"/>
      <c r="N259" s="6"/>
      <c r="O259" s="6"/>
      <c r="P259" s="6"/>
      <c r="Q259" s="6"/>
      <c r="R259" s="6"/>
      <c r="S259" s="6"/>
      <c r="T259" s="6"/>
      <c r="U259" s="6"/>
      <c r="V259" s="6"/>
      <c r="W259" s="6"/>
      <c r="X259" s="6"/>
      <c r="Y259" s="6"/>
      <c r="Z259" s="6"/>
    </row>
    <row r="260">
      <c r="A260" s="9"/>
      <c r="B260" s="9"/>
      <c r="C260" s="9"/>
      <c r="D260" s="6"/>
      <c r="E260" s="9"/>
      <c r="F260" s="6"/>
      <c r="G260" s="6"/>
      <c r="H260" s="6"/>
      <c r="I260" s="6"/>
      <c r="J260" s="6"/>
      <c r="K260" s="6"/>
      <c r="L260" s="6"/>
      <c r="M260" s="6"/>
      <c r="N260" s="6"/>
      <c r="O260" s="6"/>
      <c r="P260" s="6"/>
      <c r="Q260" s="6"/>
      <c r="R260" s="6"/>
      <c r="S260" s="6"/>
      <c r="T260" s="6"/>
      <c r="U260" s="6"/>
      <c r="V260" s="6"/>
      <c r="W260" s="6"/>
      <c r="X260" s="6"/>
      <c r="Y260" s="6"/>
      <c r="Z260" s="6"/>
    </row>
    <row r="261">
      <c r="A261" s="9"/>
      <c r="B261" s="9"/>
      <c r="C261" s="9"/>
      <c r="D261" s="6"/>
      <c r="E261" s="9"/>
      <c r="F261" s="6"/>
      <c r="G261" s="6"/>
      <c r="H261" s="6"/>
      <c r="I261" s="6"/>
      <c r="J261" s="6"/>
      <c r="K261" s="6"/>
      <c r="L261" s="6"/>
      <c r="M261" s="6"/>
      <c r="N261" s="6"/>
      <c r="O261" s="6"/>
      <c r="P261" s="6"/>
      <c r="Q261" s="6"/>
      <c r="R261" s="6"/>
      <c r="S261" s="6"/>
      <c r="T261" s="6"/>
      <c r="U261" s="6"/>
      <c r="V261" s="6"/>
      <c r="W261" s="6"/>
      <c r="X261" s="6"/>
      <c r="Y261" s="6"/>
      <c r="Z261" s="6"/>
    </row>
    <row r="262">
      <c r="A262" s="9"/>
      <c r="B262" s="9"/>
      <c r="C262" s="9"/>
      <c r="D262" s="6"/>
      <c r="E262" s="9"/>
      <c r="F262" s="6"/>
      <c r="G262" s="6"/>
      <c r="H262" s="6"/>
      <c r="I262" s="6"/>
      <c r="J262" s="6"/>
      <c r="K262" s="6"/>
      <c r="L262" s="6"/>
      <c r="M262" s="6"/>
      <c r="N262" s="6"/>
      <c r="O262" s="6"/>
      <c r="P262" s="6"/>
      <c r="Q262" s="6"/>
      <c r="R262" s="6"/>
      <c r="S262" s="6"/>
      <c r="T262" s="6"/>
      <c r="U262" s="6"/>
      <c r="V262" s="6"/>
      <c r="W262" s="6"/>
      <c r="X262" s="6"/>
      <c r="Y262" s="6"/>
      <c r="Z262" s="6"/>
    </row>
    <row r="263">
      <c r="A263" s="9"/>
      <c r="B263" s="9"/>
      <c r="C263" s="9"/>
      <c r="D263" s="6"/>
      <c r="E263" s="9"/>
      <c r="F263" s="6"/>
      <c r="G263" s="6"/>
      <c r="H263" s="6"/>
      <c r="I263" s="6"/>
      <c r="J263" s="6"/>
      <c r="K263" s="6"/>
      <c r="L263" s="6"/>
      <c r="M263" s="6"/>
      <c r="N263" s="6"/>
      <c r="O263" s="6"/>
      <c r="P263" s="6"/>
      <c r="Q263" s="6"/>
      <c r="R263" s="6"/>
      <c r="S263" s="6"/>
      <c r="T263" s="6"/>
      <c r="U263" s="6"/>
      <c r="V263" s="6"/>
      <c r="W263" s="6"/>
      <c r="X263" s="6"/>
      <c r="Y263" s="6"/>
      <c r="Z263" s="6"/>
    </row>
    <row r="264">
      <c r="A264" s="9"/>
      <c r="B264" s="9"/>
      <c r="C264" s="9"/>
      <c r="D264" s="6"/>
      <c r="E264" s="9"/>
      <c r="F264" s="6"/>
      <c r="G264" s="6"/>
      <c r="H264" s="6"/>
      <c r="I264" s="6"/>
      <c r="J264" s="6"/>
      <c r="K264" s="6"/>
      <c r="L264" s="6"/>
      <c r="M264" s="6"/>
      <c r="N264" s="6"/>
      <c r="O264" s="6"/>
      <c r="P264" s="6"/>
      <c r="Q264" s="6"/>
      <c r="R264" s="6"/>
      <c r="S264" s="6"/>
      <c r="T264" s="6"/>
      <c r="U264" s="6"/>
      <c r="V264" s="6"/>
      <c r="W264" s="6"/>
      <c r="X264" s="6"/>
      <c r="Y264" s="6"/>
      <c r="Z264" s="6"/>
    </row>
    <row r="265">
      <c r="A265" s="9"/>
      <c r="B265" s="9"/>
      <c r="C265" s="9"/>
      <c r="D265" s="6"/>
      <c r="E265" s="9"/>
      <c r="F265" s="6"/>
      <c r="G265" s="6"/>
      <c r="H265" s="6"/>
      <c r="I265" s="6"/>
      <c r="J265" s="6"/>
      <c r="K265" s="6"/>
      <c r="L265" s="6"/>
      <c r="M265" s="6"/>
      <c r="N265" s="6"/>
      <c r="O265" s="6"/>
      <c r="P265" s="6"/>
      <c r="Q265" s="6"/>
      <c r="R265" s="6"/>
      <c r="S265" s="6"/>
      <c r="T265" s="6"/>
      <c r="U265" s="6"/>
      <c r="V265" s="6"/>
      <c r="W265" s="6"/>
      <c r="X265" s="6"/>
      <c r="Y265" s="6"/>
      <c r="Z265" s="6"/>
    </row>
    <row r="266">
      <c r="A266" s="9"/>
      <c r="B266" s="9"/>
      <c r="C266" s="9"/>
      <c r="D266" s="6"/>
      <c r="E266" s="9"/>
      <c r="F266" s="6"/>
      <c r="G266" s="6"/>
      <c r="H266" s="6"/>
      <c r="I266" s="6"/>
      <c r="J266" s="6"/>
      <c r="K266" s="6"/>
      <c r="L266" s="6"/>
      <c r="M266" s="6"/>
      <c r="N266" s="6"/>
      <c r="O266" s="6"/>
      <c r="P266" s="6"/>
      <c r="Q266" s="6"/>
      <c r="R266" s="6"/>
      <c r="S266" s="6"/>
      <c r="T266" s="6"/>
      <c r="U266" s="6"/>
      <c r="V266" s="6"/>
      <c r="W266" s="6"/>
      <c r="X266" s="6"/>
      <c r="Y266" s="6"/>
      <c r="Z266" s="6"/>
    </row>
    <row r="267">
      <c r="A267" s="9"/>
      <c r="B267" s="9"/>
      <c r="C267" s="9"/>
      <c r="D267" s="6"/>
      <c r="E267" s="9"/>
      <c r="F267" s="6"/>
      <c r="G267" s="6"/>
      <c r="H267" s="6"/>
      <c r="I267" s="6"/>
      <c r="J267" s="6"/>
      <c r="K267" s="6"/>
      <c r="L267" s="6"/>
      <c r="M267" s="6"/>
      <c r="N267" s="6"/>
      <c r="O267" s="6"/>
      <c r="P267" s="6"/>
      <c r="Q267" s="6"/>
      <c r="R267" s="6"/>
      <c r="S267" s="6"/>
      <c r="T267" s="6"/>
      <c r="U267" s="6"/>
      <c r="V267" s="6"/>
      <c r="W267" s="6"/>
      <c r="X267" s="6"/>
      <c r="Y267" s="6"/>
      <c r="Z267" s="6"/>
    </row>
    <row r="268">
      <c r="A268" s="9"/>
      <c r="B268" s="9"/>
      <c r="C268" s="9"/>
      <c r="D268" s="6"/>
      <c r="E268" s="9"/>
      <c r="F268" s="6"/>
      <c r="G268" s="6"/>
      <c r="H268" s="6"/>
      <c r="I268" s="6"/>
      <c r="J268" s="6"/>
      <c r="K268" s="6"/>
      <c r="L268" s="6"/>
      <c r="M268" s="6"/>
      <c r="N268" s="6"/>
      <c r="O268" s="6"/>
      <c r="P268" s="6"/>
      <c r="Q268" s="6"/>
      <c r="R268" s="6"/>
      <c r="S268" s="6"/>
      <c r="T268" s="6"/>
      <c r="U268" s="6"/>
      <c r="V268" s="6"/>
      <c r="W268" s="6"/>
      <c r="X268" s="6"/>
      <c r="Y268" s="6"/>
      <c r="Z268" s="6"/>
    </row>
    <row r="269">
      <c r="A269" s="9"/>
      <c r="B269" s="9"/>
      <c r="C269" s="9"/>
      <c r="D269" s="6"/>
      <c r="E269" s="9"/>
      <c r="F269" s="6"/>
      <c r="G269" s="6"/>
      <c r="H269" s="6"/>
      <c r="I269" s="6"/>
      <c r="J269" s="6"/>
      <c r="K269" s="6"/>
      <c r="L269" s="6"/>
      <c r="M269" s="6"/>
      <c r="N269" s="6"/>
      <c r="O269" s="6"/>
      <c r="P269" s="6"/>
      <c r="Q269" s="6"/>
      <c r="R269" s="6"/>
      <c r="S269" s="6"/>
      <c r="T269" s="6"/>
      <c r="U269" s="6"/>
      <c r="V269" s="6"/>
      <c r="W269" s="6"/>
      <c r="X269" s="6"/>
      <c r="Y269" s="6"/>
      <c r="Z269" s="6"/>
    </row>
    <row r="270">
      <c r="A270" s="9"/>
      <c r="B270" s="9"/>
      <c r="C270" s="9"/>
      <c r="D270" s="6"/>
      <c r="E270" s="9"/>
      <c r="F270" s="6"/>
      <c r="G270" s="6"/>
      <c r="H270" s="6"/>
      <c r="I270" s="6"/>
      <c r="J270" s="6"/>
      <c r="K270" s="6"/>
      <c r="L270" s="6"/>
      <c r="M270" s="6"/>
      <c r="N270" s="6"/>
      <c r="O270" s="6"/>
      <c r="P270" s="6"/>
      <c r="Q270" s="6"/>
      <c r="R270" s="6"/>
      <c r="S270" s="6"/>
      <c r="T270" s="6"/>
      <c r="U270" s="6"/>
      <c r="V270" s="6"/>
      <c r="W270" s="6"/>
      <c r="X270" s="6"/>
      <c r="Y270" s="6"/>
      <c r="Z270" s="6"/>
    </row>
    <row r="271">
      <c r="A271" s="9"/>
      <c r="B271" s="9"/>
      <c r="C271" s="9"/>
      <c r="D271" s="6"/>
      <c r="E271" s="9"/>
      <c r="F271" s="6"/>
      <c r="G271" s="6"/>
      <c r="H271" s="6"/>
      <c r="I271" s="6"/>
      <c r="J271" s="6"/>
      <c r="K271" s="6"/>
      <c r="L271" s="6"/>
      <c r="M271" s="6"/>
      <c r="N271" s="6"/>
      <c r="O271" s="6"/>
      <c r="P271" s="6"/>
      <c r="Q271" s="6"/>
      <c r="R271" s="6"/>
      <c r="S271" s="6"/>
      <c r="T271" s="6"/>
      <c r="U271" s="6"/>
      <c r="V271" s="6"/>
      <c r="W271" s="6"/>
      <c r="X271" s="6"/>
      <c r="Y271" s="6"/>
      <c r="Z271" s="6"/>
    </row>
    <row r="272">
      <c r="A272" s="9"/>
      <c r="B272" s="9"/>
      <c r="C272" s="9"/>
      <c r="D272" s="6"/>
      <c r="E272" s="9"/>
      <c r="F272" s="6"/>
      <c r="G272" s="6"/>
      <c r="H272" s="6"/>
      <c r="I272" s="6"/>
      <c r="J272" s="6"/>
      <c r="K272" s="6"/>
      <c r="L272" s="6"/>
      <c r="M272" s="6"/>
      <c r="N272" s="6"/>
      <c r="O272" s="6"/>
      <c r="P272" s="6"/>
      <c r="Q272" s="6"/>
      <c r="R272" s="6"/>
      <c r="S272" s="6"/>
      <c r="T272" s="6"/>
      <c r="U272" s="6"/>
      <c r="V272" s="6"/>
      <c r="W272" s="6"/>
      <c r="X272" s="6"/>
      <c r="Y272" s="6"/>
      <c r="Z272" s="6"/>
    </row>
    <row r="273">
      <c r="A273" s="9"/>
      <c r="B273" s="9"/>
      <c r="C273" s="9"/>
      <c r="D273" s="6"/>
      <c r="E273" s="9"/>
      <c r="F273" s="6"/>
      <c r="G273" s="6"/>
      <c r="H273" s="6"/>
      <c r="I273" s="6"/>
      <c r="J273" s="6"/>
      <c r="K273" s="6"/>
      <c r="L273" s="6"/>
      <c r="M273" s="6"/>
      <c r="N273" s="6"/>
      <c r="O273" s="6"/>
      <c r="P273" s="6"/>
      <c r="Q273" s="6"/>
      <c r="R273" s="6"/>
      <c r="S273" s="6"/>
      <c r="T273" s="6"/>
      <c r="U273" s="6"/>
      <c r="V273" s="6"/>
      <c r="W273" s="6"/>
      <c r="X273" s="6"/>
      <c r="Y273" s="6"/>
      <c r="Z273" s="6"/>
    </row>
    <row r="274">
      <c r="A274" s="9"/>
      <c r="B274" s="9"/>
      <c r="C274" s="9"/>
      <c r="D274" s="6"/>
      <c r="E274" s="9"/>
      <c r="F274" s="6"/>
      <c r="G274" s="6"/>
      <c r="H274" s="6"/>
      <c r="I274" s="6"/>
      <c r="J274" s="6"/>
      <c r="K274" s="6"/>
      <c r="L274" s="6"/>
      <c r="M274" s="6"/>
      <c r="N274" s="6"/>
      <c r="O274" s="6"/>
      <c r="P274" s="6"/>
      <c r="Q274" s="6"/>
      <c r="R274" s="6"/>
      <c r="S274" s="6"/>
      <c r="T274" s="6"/>
      <c r="U274" s="6"/>
      <c r="V274" s="6"/>
      <c r="W274" s="6"/>
      <c r="X274" s="6"/>
      <c r="Y274" s="6"/>
      <c r="Z274" s="6"/>
    </row>
    <row r="275">
      <c r="A275" s="9"/>
      <c r="B275" s="9"/>
      <c r="C275" s="9"/>
      <c r="D275" s="6"/>
      <c r="E275" s="9"/>
      <c r="F275" s="6"/>
      <c r="G275" s="6"/>
      <c r="H275" s="6"/>
      <c r="I275" s="6"/>
      <c r="J275" s="6"/>
      <c r="K275" s="6"/>
      <c r="L275" s="6"/>
      <c r="M275" s="6"/>
      <c r="N275" s="6"/>
      <c r="O275" s="6"/>
      <c r="P275" s="6"/>
      <c r="Q275" s="6"/>
      <c r="R275" s="6"/>
      <c r="S275" s="6"/>
      <c r="T275" s="6"/>
      <c r="U275" s="6"/>
      <c r="V275" s="6"/>
      <c r="W275" s="6"/>
      <c r="X275" s="6"/>
      <c r="Y275" s="6"/>
      <c r="Z275" s="6"/>
    </row>
    <row r="276">
      <c r="A276" s="9"/>
      <c r="B276" s="9"/>
      <c r="C276" s="9"/>
      <c r="D276" s="6"/>
      <c r="E276" s="9"/>
      <c r="F276" s="6"/>
      <c r="G276" s="6"/>
      <c r="H276" s="6"/>
      <c r="I276" s="6"/>
      <c r="J276" s="6"/>
      <c r="K276" s="6"/>
      <c r="L276" s="6"/>
      <c r="M276" s="6"/>
      <c r="N276" s="6"/>
      <c r="O276" s="6"/>
      <c r="P276" s="6"/>
      <c r="Q276" s="6"/>
      <c r="R276" s="6"/>
      <c r="S276" s="6"/>
      <c r="T276" s="6"/>
      <c r="U276" s="6"/>
      <c r="V276" s="6"/>
      <c r="W276" s="6"/>
      <c r="X276" s="6"/>
      <c r="Y276" s="6"/>
      <c r="Z276" s="6"/>
    </row>
    <row r="277">
      <c r="A277" s="9"/>
      <c r="B277" s="9"/>
      <c r="C277" s="9"/>
      <c r="D277" s="6"/>
      <c r="E277" s="9"/>
      <c r="F277" s="6"/>
      <c r="G277" s="6"/>
      <c r="H277" s="6"/>
      <c r="I277" s="6"/>
      <c r="J277" s="6"/>
      <c r="K277" s="6"/>
      <c r="L277" s="6"/>
      <c r="M277" s="6"/>
      <c r="N277" s="6"/>
      <c r="O277" s="6"/>
      <c r="P277" s="6"/>
      <c r="Q277" s="6"/>
      <c r="R277" s="6"/>
      <c r="S277" s="6"/>
      <c r="T277" s="6"/>
      <c r="U277" s="6"/>
      <c r="V277" s="6"/>
      <c r="W277" s="6"/>
      <c r="X277" s="6"/>
      <c r="Y277" s="6"/>
      <c r="Z277" s="6"/>
    </row>
    <row r="278">
      <c r="A278" s="9"/>
      <c r="B278" s="9"/>
      <c r="C278" s="9"/>
      <c r="D278" s="6"/>
      <c r="E278" s="9"/>
      <c r="F278" s="6"/>
      <c r="G278" s="6"/>
      <c r="H278" s="6"/>
      <c r="I278" s="6"/>
      <c r="J278" s="6"/>
      <c r="K278" s="6"/>
      <c r="L278" s="6"/>
      <c r="M278" s="6"/>
      <c r="N278" s="6"/>
      <c r="O278" s="6"/>
      <c r="P278" s="6"/>
      <c r="Q278" s="6"/>
      <c r="R278" s="6"/>
      <c r="S278" s="6"/>
      <c r="T278" s="6"/>
      <c r="U278" s="6"/>
      <c r="V278" s="6"/>
      <c r="W278" s="6"/>
      <c r="X278" s="6"/>
      <c r="Y278" s="6"/>
      <c r="Z278" s="6"/>
    </row>
    <row r="279">
      <c r="A279" s="9"/>
      <c r="B279" s="9"/>
      <c r="C279" s="9"/>
      <c r="D279" s="6"/>
      <c r="E279" s="9"/>
      <c r="F279" s="6"/>
      <c r="G279" s="6"/>
      <c r="H279" s="6"/>
      <c r="I279" s="6"/>
      <c r="J279" s="6"/>
      <c r="K279" s="6"/>
      <c r="L279" s="6"/>
      <c r="M279" s="6"/>
      <c r="N279" s="6"/>
      <c r="O279" s="6"/>
      <c r="P279" s="6"/>
      <c r="Q279" s="6"/>
      <c r="R279" s="6"/>
      <c r="S279" s="6"/>
      <c r="T279" s="6"/>
      <c r="U279" s="6"/>
      <c r="V279" s="6"/>
      <c r="W279" s="6"/>
      <c r="X279" s="6"/>
      <c r="Y279" s="6"/>
      <c r="Z279" s="6"/>
    </row>
    <row r="280">
      <c r="A280" s="9"/>
      <c r="B280" s="9"/>
      <c r="C280" s="9"/>
      <c r="D280" s="6"/>
      <c r="E280" s="9"/>
      <c r="F280" s="6"/>
      <c r="G280" s="6"/>
      <c r="H280" s="6"/>
      <c r="I280" s="6"/>
      <c r="J280" s="6"/>
      <c r="K280" s="6"/>
      <c r="L280" s="6"/>
      <c r="M280" s="6"/>
      <c r="N280" s="6"/>
      <c r="O280" s="6"/>
      <c r="P280" s="6"/>
      <c r="Q280" s="6"/>
      <c r="R280" s="6"/>
      <c r="S280" s="6"/>
      <c r="T280" s="6"/>
      <c r="U280" s="6"/>
      <c r="V280" s="6"/>
      <c r="W280" s="6"/>
      <c r="X280" s="6"/>
      <c r="Y280" s="6"/>
      <c r="Z280" s="6"/>
    </row>
    <row r="281">
      <c r="A281" s="9"/>
      <c r="B281" s="9"/>
      <c r="C281" s="9"/>
      <c r="D281" s="6"/>
      <c r="E281" s="9"/>
      <c r="F281" s="6"/>
      <c r="G281" s="6"/>
      <c r="H281" s="6"/>
      <c r="I281" s="6"/>
      <c r="J281" s="6"/>
      <c r="K281" s="6"/>
      <c r="L281" s="6"/>
      <c r="M281" s="6"/>
      <c r="N281" s="6"/>
      <c r="O281" s="6"/>
      <c r="P281" s="6"/>
      <c r="Q281" s="6"/>
      <c r="R281" s="6"/>
      <c r="S281" s="6"/>
      <c r="T281" s="6"/>
      <c r="U281" s="6"/>
      <c r="V281" s="6"/>
      <c r="W281" s="6"/>
      <c r="X281" s="6"/>
      <c r="Y281" s="6"/>
      <c r="Z281" s="6"/>
    </row>
    <row r="282">
      <c r="A282" s="9"/>
      <c r="B282" s="9"/>
      <c r="C282" s="9"/>
      <c r="D282" s="6"/>
      <c r="E282" s="9"/>
      <c r="F282" s="6"/>
      <c r="G282" s="6"/>
      <c r="H282" s="6"/>
      <c r="I282" s="6"/>
      <c r="J282" s="6"/>
      <c r="K282" s="6"/>
      <c r="L282" s="6"/>
      <c r="M282" s="6"/>
      <c r="N282" s="6"/>
      <c r="O282" s="6"/>
      <c r="P282" s="6"/>
      <c r="Q282" s="6"/>
      <c r="R282" s="6"/>
      <c r="S282" s="6"/>
      <c r="T282" s="6"/>
      <c r="U282" s="6"/>
      <c r="V282" s="6"/>
      <c r="W282" s="6"/>
      <c r="X282" s="6"/>
      <c r="Y282" s="6"/>
      <c r="Z282" s="6"/>
    </row>
    <row r="283">
      <c r="A283" s="9"/>
      <c r="B283" s="9"/>
      <c r="C283" s="9"/>
      <c r="D283" s="6"/>
      <c r="E283" s="9"/>
      <c r="F283" s="6"/>
      <c r="G283" s="6"/>
      <c r="H283" s="6"/>
      <c r="I283" s="6"/>
      <c r="J283" s="6"/>
      <c r="K283" s="6"/>
      <c r="L283" s="6"/>
      <c r="M283" s="6"/>
      <c r="N283" s="6"/>
      <c r="O283" s="6"/>
      <c r="P283" s="6"/>
      <c r="Q283" s="6"/>
      <c r="R283" s="6"/>
      <c r="S283" s="6"/>
      <c r="T283" s="6"/>
      <c r="U283" s="6"/>
      <c r="V283" s="6"/>
      <c r="W283" s="6"/>
      <c r="X283" s="6"/>
      <c r="Y283" s="6"/>
      <c r="Z283" s="6"/>
    </row>
    <row r="284">
      <c r="A284" s="9"/>
      <c r="B284" s="9"/>
      <c r="C284" s="9"/>
      <c r="D284" s="6"/>
      <c r="E284" s="9"/>
      <c r="F284" s="6"/>
      <c r="G284" s="6"/>
      <c r="H284" s="6"/>
      <c r="I284" s="6"/>
      <c r="J284" s="6"/>
      <c r="K284" s="6"/>
      <c r="L284" s="6"/>
      <c r="M284" s="6"/>
      <c r="N284" s="6"/>
      <c r="O284" s="6"/>
      <c r="P284" s="6"/>
      <c r="Q284" s="6"/>
      <c r="R284" s="6"/>
      <c r="S284" s="6"/>
      <c r="T284" s="6"/>
      <c r="U284" s="6"/>
      <c r="V284" s="6"/>
      <c r="W284" s="6"/>
      <c r="X284" s="6"/>
      <c r="Y284" s="6"/>
      <c r="Z284" s="6"/>
    </row>
    <row r="285">
      <c r="A285" s="9"/>
      <c r="B285" s="9"/>
      <c r="C285" s="9"/>
      <c r="D285" s="6"/>
      <c r="E285" s="9"/>
      <c r="F285" s="6"/>
      <c r="G285" s="6"/>
      <c r="H285" s="6"/>
      <c r="I285" s="6"/>
      <c r="J285" s="6"/>
      <c r="K285" s="6"/>
      <c r="L285" s="6"/>
      <c r="M285" s="6"/>
      <c r="N285" s="6"/>
      <c r="O285" s="6"/>
      <c r="P285" s="6"/>
      <c r="Q285" s="6"/>
      <c r="R285" s="6"/>
      <c r="S285" s="6"/>
      <c r="T285" s="6"/>
      <c r="U285" s="6"/>
      <c r="V285" s="6"/>
      <c r="W285" s="6"/>
      <c r="X285" s="6"/>
      <c r="Y285" s="6"/>
      <c r="Z285" s="6"/>
    </row>
    <row r="286">
      <c r="A286" s="9"/>
      <c r="B286" s="9"/>
      <c r="C286" s="9"/>
      <c r="D286" s="6"/>
      <c r="E286" s="9"/>
      <c r="F286" s="6"/>
      <c r="G286" s="6"/>
      <c r="H286" s="6"/>
      <c r="I286" s="6"/>
      <c r="J286" s="6"/>
      <c r="K286" s="6"/>
      <c r="L286" s="6"/>
      <c r="M286" s="6"/>
      <c r="N286" s="6"/>
      <c r="O286" s="6"/>
      <c r="P286" s="6"/>
      <c r="Q286" s="6"/>
      <c r="R286" s="6"/>
      <c r="S286" s="6"/>
      <c r="T286" s="6"/>
      <c r="U286" s="6"/>
      <c r="V286" s="6"/>
      <c r="W286" s="6"/>
      <c r="X286" s="6"/>
      <c r="Y286" s="6"/>
      <c r="Z286" s="6"/>
    </row>
    <row r="287">
      <c r="A287" s="9"/>
      <c r="B287" s="9"/>
      <c r="C287" s="9"/>
      <c r="D287" s="6"/>
      <c r="E287" s="9"/>
      <c r="F287" s="6"/>
      <c r="G287" s="6"/>
      <c r="H287" s="6"/>
      <c r="I287" s="6"/>
      <c r="J287" s="6"/>
      <c r="K287" s="6"/>
      <c r="L287" s="6"/>
      <c r="M287" s="6"/>
      <c r="N287" s="6"/>
      <c r="O287" s="6"/>
      <c r="P287" s="6"/>
      <c r="Q287" s="6"/>
      <c r="R287" s="6"/>
      <c r="S287" s="6"/>
      <c r="T287" s="6"/>
      <c r="U287" s="6"/>
      <c r="V287" s="6"/>
      <c r="W287" s="6"/>
      <c r="X287" s="6"/>
      <c r="Y287" s="6"/>
      <c r="Z287" s="6"/>
    </row>
    <row r="288">
      <c r="A288" s="9"/>
      <c r="B288" s="9"/>
      <c r="C288" s="9"/>
      <c r="D288" s="6"/>
      <c r="E288" s="9"/>
      <c r="F288" s="6"/>
      <c r="G288" s="6"/>
      <c r="H288" s="6"/>
      <c r="I288" s="6"/>
      <c r="J288" s="6"/>
      <c r="K288" s="6"/>
      <c r="L288" s="6"/>
      <c r="M288" s="6"/>
      <c r="N288" s="6"/>
      <c r="O288" s="6"/>
      <c r="P288" s="6"/>
      <c r="Q288" s="6"/>
      <c r="R288" s="6"/>
      <c r="S288" s="6"/>
      <c r="T288" s="6"/>
      <c r="U288" s="6"/>
      <c r="V288" s="6"/>
      <c r="W288" s="6"/>
      <c r="X288" s="6"/>
      <c r="Y288" s="6"/>
      <c r="Z288" s="6"/>
    </row>
    <row r="289">
      <c r="A289" s="9"/>
      <c r="B289" s="9"/>
      <c r="C289" s="9"/>
      <c r="D289" s="6"/>
      <c r="E289" s="9"/>
      <c r="F289" s="6"/>
      <c r="G289" s="6"/>
      <c r="H289" s="6"/>
      <c r="I289" s="6"/>
      <c r="J289" s="6"/>
      <c r="K289" s="6"/>
      <c r="L289" s="6"/>
      <c r="M289" s="6"/>
      <c r="N289" s="6"/>
      <c r="O289" s="6"/>
      <c r="P289" s="6"/>
      <c r="Q289" s="6"/>
      <c r="R289" s="6"/>
      <c r="S289" s="6"/>
      <c r="T289" s="6"/>
      <c r="U289" s="6"/>
      <c r="V289" s="6"/>
      <c r="W289" s="6"/>
      <c r="X289" s="6"/>
      <c r="Y289" s="6"/>
      <c r="Z289" s="6"/>
    </row>
    <row r="290">
      <c r="A290" s="9"/>
      <c r="B290" s="9"/>
      <c r="C290" s="9"/>
      <c r="D290" s="6"/>
      <c r="E290" s="9"/>
      <c r="F290" s="6"/>
      <c r="G290" s="6"/>
      <c r="H290" s="6"/>
      <c r="I290" s="6"/>
      <c r="J290" s="6"/>
      <c r="K290" s="6"/>
      <c r="L290" s="6"/>
      <c r="M290" s="6"/>
      <c r="N290" s="6"/>
      <c r="O290" s="6"/>
      <c r="P290" s="6"/>
      <c r="Q290" s="6"/>
      <c r="R290" s="6"/>
      <c r="S290" s="6"/>
      <c r="T290" s="6"/>
      <c r="U290" s="6"/>
      <c r="V290" s="6"/>
      <c r="W290" s="6"/>
      <c r="X290" s="6"/>
      <c r="Y290" s="6"/>
      <c r="Z290" s="6"/>
    </row>
    <row r="291">
      <c r="A291" s="9"/>
      <c r="B291" s="9"/>
      <c r="C291" s="9"/>
      <c r="D291" s="6"/>
      <c r="E291" s="9"/>
      <c r="F291" s="6"/>
      <c r="G291" s="6"/>
      <c r="H291" s="6"/>
      <c r="I291" s="6"/>
      <c r="J291" s="6"/>
      <c r="K291" s="6"/>
      <c r="L291" s="6"/>
      <c r="M291" s="6"/>
      <c r="N291" s="6"/>
      <c r="O291" s="6"/>
      <c r="P291" s="6"/>
      <c r="Q291" s="6"/>
      <c r="R291" s="6"/>
      <c r="S291" s="6"/>
      <c r="T291" s="6"/>
      <c r="U291" s="6"/>
      <c r="V291" s="6"/>
      <c r="W291" s="6"/>
      <c r="X291" s="6"/>
      <c r="Y291" s="6"/>
      <c r="Z291" s="6"/>
    </row>
    <row r="292">
      <c r="A292" s="9"/>
      <c r="B292" s="9"/>
      <c r="C292" s="9"/>
      <c r="D292" s="6"/>
      <c r="E292" s="9"/>
      <c r="F292" s="6"/>
      <c r="G292" s="6"/>
      <c r="H292" s="6"/>
      <c r="I292" s="6"/>
      <c r="J292" s="6"/>
      <c r="K292" s="6"/>
      <c r="L292" s="6"/>
      <c r="M292" s="6"/>
      <c r="N292" s="6"/>
      <c r="O292" s="6"/>
      <c r="P292" s="6"/>
      <c r="Q292" s="6"/>
      <c r="R292" s="6"/>
      <c r="S292" s="6"/>
      <c r="T292" s="6"/>
      <c r="U292" s="6"/>
      <c r="V292" s="6"/>
      <c r="W292" s="6"/>
      <c r="X292" s="6"/>
      <c r="Y292" s="6"/>
      <c r="Z292" s="6"/>
    </row>
    <row r="293">
      <c r="A293" s="9"/>
      <c r="B293" s="9"/>
      <c r="C293" s="9"/>
      <c r="D293" s="6"/>
      <c r="E293" s="9"/>
      <c r="F293" s="6"/>
      <c r="G293" s="6"/>
      <c r="H293" s="6"/>
      <c r="I293" s="6"/>
      <c r="J293" s="6"/>
      <c r="K293" s="6"/>
      <c r="L293" s="6"/>
      <c r="M293" s="6"/>
      <c r="N293" s="6"/>
      <c r="O293" s="6"/>
      <c r="P293" s="6"/>
      <c r="Q293" s="6"/>
      <c r="R293" s="6"/>
      <c r="S293" s="6"/>
      <c r="T293" s="6"/>
      <c r="U293" s="6"/>
      <c r="V293" s="6"/>
      <c r="W293" s="6"/>
      <c r="X293" s="6"/>
      <c r="Y293" s="6"/>
      <c r="Z293" s="6"/>
    </row>
    <row r="294">
      <c r="A294" s="9"/>
      <c r="B294" s="9"/>
      <c r="C294" s="9"/>
      <c r="D294" s="6"/>
      <c r="E294" s="9"/>
      <c r="F294" s="6"/>
      <c r="G294" s="6"/>
      <c r="H294" s="6"/>
      <c r="I294" s="6"/>
      <c r="J294" s="6"/>
      <c r="K294" s="6"/>
      <c r="L294" s="6"/>
      <c r="M294" s="6"/>
      <c r="N294" s="6"/>
      <c r="O294" s="6"/>
      <c r="P294" s="6"/>
      <c r="Q294" s="6"/>
      <c r="R294" s="6"/>
      <c r="S294" s="6"/>
      <c r="T294" s="6"/>
      <c r="U294" s="6"/>
      <c r="V294" s="6"/>
      <c r="W294" s="6"/>
      <c r="X294" s="6"/>
      <c r="Y294" s="6"/>
      <c r="Z294" s="6"/>
    </row>
    <row r="295">
      <c r="A295" s="9"/>
      <c r="B295" s="9"/>
      <c r="C295" s="9"/>
      <c r="D295" s="6"/>
      <c r="E295" s="9"/>
      <c r="F295" s="6"/>
      <c r="G295" s="6"/>
      <c r="H295" s="6"/>
      <c r="I295" s="6"/>
      <c r="J295" s="6"/>
      <c r="K295" s="6"/>
      <c r="L295" s="6"/>
      <c r="M295" s="6"/>
      <c r="N295" s="6"/>
      <c r="O295" s="6"/>
      <c r="P295" s="6"/>
      <c r="Q295" s="6"/>
      <c r="R295" s="6"/>
      <c r="S295" s="6"/>
      <c r="T295" s="6"/>
      <c r="U295" s="6"/>
      <c r="V295" s="6"/>
      <c r="W295" s="6"/>
      <c r="X295" s="6"/>
      <c r="Y295" s="6"/>
      <c r="Z295" s="6"/>
    </row>
    <row r="296">
      <c r="A296" s="9"/>
      <c r="B296" s="9"/>
      <c r="C296" s="9"/>
      <c r="D296" s="6"/>
      <c r="E296" s="9"/>
      <c r="F296" s="6"/>
      <c r="G296" s="6"/>
      <c r="H296" s="6"/>
      <c r="I296" s="6"/>
      <c r="J296" s="6"/>
      <c r="K296" s="6"/>
      <c r="L296" s="6"/>
      <c r="M296" s="6"/>
      <c r="N296" s="6"/>
      <c r="O296" s="6"/>
      <c r="P296" s="6"/>
      <c r="Q296" s="6"/>
      <c r="R296" s="6"/>
      <c r="S296" s="6"/>
      <c r="T296" s="6"/>
      <c r="U296" s="6"/>
      <c r="V296" s="6"/>
      <c r="W296" s="6"/>
      <c r="X296" s="6"/>
      <c r="Y296" s="6"/>
      <c r="Z296" s="6"/>
    </row>
    <row r="297">
      <c r="A297" s="9"/>
      <c r="B297" s="9"/>
      <c r="C297" s="9"/>
      <c r="D297" s="6"/>
      <c r="E297" s="9"/>
      <c r="F297" s="6"/>
      <c r="G297" s="6"/>
      <c r="H297" s="6"/>
      <c r="I297" s="6"/>
      <c r="J297" s="6"/>
      <c r="K297" s="6"/>
      <c r="L297" s="6"/>
      <c r="M297" s="6"/>
      <c r="N297" s="6"/>
      <c r="O297" s="6"/>
      <c r="P297" s="6"/>
      <c r="Q297" s="6"/>
      <c r="R297" s="6"/>
      <c r="S297" s="6"/>
      <c r="T297" s="6"/>
      <c r="U297" s="6"/>
      <c r="V297" s="6"/>
      <c r="W297" s="6"/>
      <c r="X297" s="6"/>
      <c r="Y297" s="6"/>
      <c r="Z297" s="6"/>
    </row>
    <row r="298">
      <c r="A298" s="9"/>
      <c r="B298" s="9"/>
      <c r="C298" s="9"/>
      <c r="D298" s="6"/>
      <c r="E298" s="9"/>
      <c r="F298" s="6"/>
      <c r="G298" s="6"/>
      <c r="H298" s="6"/>
      <c r="I298" s="6"/>
      <c r="J298" s="6"/>
      <c r="K298" s="6"/>
      <c r="L298" s="6"/>
      <c r="M298" s="6"/>
      <c r="N298" s="6"/>
      <c r="O298" s="6"/>
      <c r="P298" s="6"/>
      <c r="Q298" s="6"/>
      <c r="R298" s="6"/>
      <c r="S298" s="6"/>
      <c r="T298" s="6"/>
      <c r="U298" s="6"/>
      <c r="V298" s="6"/>
      <c r="W298" s="6"/>
      <c r="X298" s="6"/>
      <c r="Y298" s="6"/>
      <c r="Z298" s="6"/>
    </row>
    <row r="299">
      <c r="A299" s="9"/>
      <c r="B299" s="9"/>
      <c r="C299" s="9"/>
      <c r="D299" s="6"/>
      <c r="E299" s="9"/>
      <c r="F299" s="6"/>
      <c r="G299" s="6"/>
      <c r="H299" s="6"/>
      <c r="I299" s="6"/>
      <c r="J299" s="6"/>
      <c r="K299" s="6"/>
      <c r="L299" s="6"/>
      <c r="M299" s="6"/>
      <c r="N299" s="6"/>
      <c r="O299" s="6"/>
      <c r="P299" s="6"/>
      <c r="Q299" s="6"/>
      <c r="R299" s="6"/>
      <c r="S299" s="6"/>
      <c r="T299" s="6"/>
      <c r="U299" s="6"/>
      <c r="V299" s="6"/>
      <c r="W299" s="6"/>
      <c r="X299" s="6"/>
      <c r="Y299" s="6"/>
      <c r="Z299" s="6"/>
    </row>
    <row r="300">
      <c r="A300" s="9"/>
      <c r="B300" s="9"/>
      <c r="C300" s="9"/>
      <c r="D300" s="6"/>
      <c r="E300" s="9"/>
      <c r="F300" s="6"/>
      <c r="G300" s="6"/>
      <c r="H300" s="6"/>
      <c r="I300" s="6"/>
      <c r="J300" s="6"/>
      <c r="K300" s="6"/>
      <c r="L300" s="6"/>
      <c r="M300" s="6"/>
      <c r="N300" s="6"/>
      <c r="O300" s="6"/>
      <c r="P300" s="6"/>
      <c r="Q300" s="6"/>
      <c r="R300" s="6"/>
      <c r="S300" s="6"/>
      <c r="T300" s="6"/>
      <c r="U300" s="6"/>
      <c r="V300" s="6"/>
      <c r="W300" s="6"/>
      <c r="X300" s="6"/>
      <c r="Y300" s="6"/>
      <c r="Z300" s="6"/>
    </row>
    <row r="301">
      <c r="A301" s="9"/>
      <c r="B301" s="9"/>
      <c r="C301" s="9"/>
      <c r="D301" s="6"/>
      <c r="E301" s="9"/>
      <c r="F301" s="6"/>
      <c r="G301" s="6"/>
      <c r="H301" s="6"/>
      <c r="I301" s="6"/>
      <c r="J301" s="6"/>
      <c r="K301" s="6"/>
      <c r="L301" s="6"/>
      <c r="M301" s="6"/>
      <c r="N301" s="6"/>
      <c r="O301" s="6"/>
      <c r="P301" s="6"/>
      <c r="Q301" s="6"/>
      <c r="R301" s="6"/>
      <c r="S301" s="6"/>
      <c r="T301" s="6"/>
      <c r="U301" s="6"/>
      <c r="V301" s="6"/>
      <c r="W301" s="6"/>
      <c r="X301" s="6"/>
      <c r="Y301" s="6"/>
      <c r="Z301" s="6"/>
    </row>
    <row r="302">
      <c r="A302" s="9"/>
      <c r="B302" s="9"/>
      <c r="C302" s="9"/>
      <c r="D302" s="6"/>
      <c r="E302" s="9"/>
      <c r="F302" s="6"/>
      <c r="G302" s="6"/>
      <c r="H302" s="6"/>
      <c r="I302" s="6"/>
      <c r="J302" s="6"/>
      <c r="K302" s="6"/>
      <c r="L302" s="6"/>
      <c r="M302" s="6"/>
      <c r="N302" s="6"/>
      <c r="O302" s="6"/>
      <c r="P302" s="6"/>
      <c r="Q302" s="6"/>
      <c r="R302" s="6"/>
      <c r="S302" s="6"/>
      <c r="T302" s="6"/>
      <c r="U302" s="6"/>
      <c r="V302" s="6"/>
      <c r="W302" s="6"/>
      <c r="X302" s="6"/>
      <c r="Y302" s="6"/>
      <c r="Z302" s="6"/>
    </row>
    <row r="303">
      <c r="A303" s="9"/>
      <c r="B303" s="9"/>
      <c r="C303" s="9"/>
      <c r="D303" s="6"/>
      <c r="E303" s="9"/>
      <c r="F303" s="6"/>
      <c r="G303" s="6"/>
      <c r="H303" s="6"/>
      <c r="I303" s="6"/>
      <c r="J303" s="6"/>
      <c r="K303" s="6"/>
      <c r="L303" s="6"/>
      <c r="M303" s="6"/>
      <c r="N303" s="6"/>
      <c r="O303" s="6"/>
      <c r="P303" s="6"/>
      <c r="Q303" s="6"/>
      <c r="R303" s="6"/>
      <c r="S303" s="6"/>
      <c r="T303" s="6"/>
      <c r="U303" s="6"/>
      <c r="V303" s="6"/>
      <c r="W303" s="6"/>
      <c r="X303" s="6"/>
      <c r="Y303" s="6"/>
      <c r="Z303" s="6"/>
    </row>
    <row r="304">
      <c r="A304" s="9"/>
      <c r="B304" s="9"/>
      <c r="C304" s="9"/>
      <c r="D304" s="6"/>
      <c r="E304" s="9"/>
      <c r="F304" s="6"/>
      <c r="G304" s="6"/>
      <c r="H304" s="6"/>
      <c r="I304" s="6"/>
      <c r="J304" s="6"/>
      <c r="K304" s="6"/>
      <c r="L304" s="6"/>
      <c r="M304" s="6"/>
      <c r="N304" s="6"/>
      <c r="O304" s="6"/>
      <c r="P304" s="6"/>
      <c r="Q304" s="6"/>
      <c r="R304" s="6"/>
      <c r="S304" s="6"/>
      <c r="T304" s="6"/>
      <c r="U304" s="6"/>
      <c r="V304" s="6"/>
      <c r="W304" s="6"/>
      <c r="X304" s="6"/>
      <c r="Y304" s="6"/>
      <c r="Z304" s="6"/>
    </row>
    <row r="305">
      <c r="A305" s="9"/>
      <c r="B305" s="9"/>
      <c r="C305" s="9"/>
      <c r="D305" s="6"/>
      <c r="E305" s="9"/>
      <c r="F305" s="6"/>
      <c r="G305" s="6"/>
      <c r="H305" s="6"/>
      <c r="I305" s="6"/>
      <c r="J305" s="6"/>
      <c r="K305" s="6"/>
      <c r="L305" s="6"/>
      <c r="M305" s="6"/>
      <c r="N305" s="6"/>
      <c r="O305" s="6"/>
      <c r="P305" s="6"/>
      <c r="Q305" s="6"/>
      <c r="R305" s="6"/>
      <c r="S305" s="6"/>
      <c r="T305" s="6"/>
      <c r="U305" s="6"/>
      <c r="V305" s="6"/>
      <c r="W305" s="6"/>
      <c r="X305" s="6"/>
      <c r="Y305" s="6"/>
      <c r="Z305" s="6"/>
    </row>
    <row r="306">
      <c r="A306" s="9"/>
      <c r="B306" s="9"/>
      <c r="C306" s="9"/>
      <c r="D306" s="6"/>
      <c r="E306" s="9"/>
      <c r="F306" s="6"/>
      <c r="G306" s="6"/>
      <c r="H306" s="6"/>
      <c r="I306" s="6"/>
      <c r="J306" s="6"/>
      <c r="K306" s="6"/>
      <c r="L306" s="6"/>
      <c r="M306" s="6"/>
      <c r="N306" s="6"/>
      <c r="O306" s="6"/>
      <c r="P306" s="6"/>
      <c r="Q306" s="6"/>
      <c r="R306" s="6"/>
      <c r="S306" s="6"/>
      <c r="T306" s="6"/>
      <c r="U306" s="6"/>
      <c r="V306" s="6"/>
      <c r="W306" s="6"/>
      <c r="X306" s="6"/>
      <c r="Y306" s="6"/>
      <c r="Z306" s="6"/>
    </row>
    <row r="307">
      <c r="A307" s="9"/>
      <c r="B307" s="9"/>
      <c r="C307" s="9"/>
      <c r="D307" s="6"/>
      <c r="E307" s="9"/>
      <c r="F307" s="6"/>
      <c r="G307" s="6"/>
      <c r="H307" s="6"/>
      <c r="I307" s="6"/>
      <c r="J307" s="6"/>
      <c r="K307" s="6"/>
      <c r="L307" s="6"/>
      <c r="M307" s="6"/>
      <c r="N307" s="6"/>
      <c r="O307" s="6"/>
      <c r="P307" s="6"/>
      <c r="Q307" s="6"/>
      <c r="R307" s="6"/>
      <c r="S307" s="6"/>
      <c r="T307" s="6"/>
      <c r="U307" s="6"/>
      <c r="V307" s="6"/>
      <c r="W307" s="6"/>
      <c r="X307" s="6"/>
      <c r="Y307" s="6"/>
      <c r="Z307" s="6"/>
    </row>
    <row r="308">
      <c r="A308" s="9"/>
      <c r="B308" s="9"/>
      <c r="C308" s="9"/>
      <c r="D308" s="6"/>
      <c r="E308" s="9"/>
      <c r="F308" s="6"/>
      <c r="G308" s="6"/>
      <c r="H308" s="6"/>
      <c r="I308" s="6"/>
      <c r="J308" s="6"/>
      <c r="K308" s="6"/>
      <c r="L308" s="6"/>
      <c r="M308" s="6"/>
      <c r="N308" s="6"/>
      <c r="O308" s="6"/>
      <c r="P308" s="6"/>
      <c r="Q308" s="6"/>
      <c r="R308" s="6"/>
      <c r="S308" s="6"/>
      <c r="T308" s="6"/>
      <c r="U308" s="6"/>
      <c r="V308" s="6"/>
      <c r="W308" s="6"/>
      <c r="X308" s="6"/>
      <c r="Y308" s="6"/>
      <c r="Z308" s="6"/>
    </row>
    <row r="309">
      <c r="A309" s="9"/>
      <c r="B309" s="9"/>
      <c r="C309" s="9"/>
      <c r="D309" s="6"/>
      <c r="E309" s="9"/>
      <c r="F309" s="6"/>
      <c r="G309" s="6"/>
      <c r="H309" s="6"/>
      <c r="I309" s="6"/>
      <c r="J309" s="6"/>
      <c r="K309" s="6"/>
      <c r="L309" s="6"/>
      <c r="M309" s="6"/>
      <c r="N309" s="6"/>
      <c r="O309" s="6"/>
      <c r="P309" s="6"/>
      <c r="Q309" s="6"/>
      <c r="R309" s="6"/>
      <c r="S309" s="6"/>
      <c r="T309" s="6"/>
      <c r="U309" s="6"/>
      <c r="V309" s="6"/>
      <c r="W309" s="6"/>
      <c r="X309" s="6"/>
      <c r="Y309" s="6"/>
      <c r="Z309" s="6"/>
    </row>
    <row r="310">
      <c r="A310" s="9"/>
      <c r="B310" s="9"/>
      <c r="C310" s="9"/>
      <c r="D310" s="6"/>
      <c r="E310" s="9"/>
      <c r="F310" s="6"/>
      <c r="G310" s="6"/>
      <c r="H310" s="6"/>
      <c r="I310" s="6"/>
      <c r="J310" s="6"/>
      <c r="K310" s="6"/>
      <c r="L310" s="6"/>
      <c r="M310" s="6"/>
      <c r="N310" s="6"/>
      <c r="O310" s="6"/>
      <c r="P310" s="6"/>
      <c r="Q310" s="6"/>
      <c r="R310" s="6"/>
      <c r="S310" s="6"/>
      <c r="T310" s="6"/>
      <c r="U310" s="6"/>
      <c r="V310" s="6"/>
      <c r="W310" s="6"/>
      <c r="X310" s="6"/>
      <c r="Y310" s="6"/>
      <c r="Z310" s="6"/>
    </row>
    <row r="311">
      <c r="A311" s="9"/>
      <c r="B311" s="9"/>
      <c r="C311" s="9"/>
      <c r="D311" s="6"/>
      <c r="E311" s="9"/>
      <c r="F311" s="6"/>
      <c r="G311" s="6"/>
      <c r="H311" s="6"/>
      <c r="I311" s="6"/>
      <c r="J311" s="6"/>
      <c r="K311" s="6"/>
      <c r="L311" s="6"/>
      <c r="M311" s="6"/>
      <c r="N311" s="6"/>
      <c r="O311" s="6"/>
      <c r="P311" s="6"/>
      <c r="Q311" s="6"/>
      <c r="R311" s="6"/>
      <c r="S311" s="6"/>
      <c r="T311" s="6"/>
      <c r="U311" s="6"/>
      <c r="V311" s="6"/>
      <c r="W311" s="6"/>
      <c r="X311" s="6"/>
      <c r="Y311" s="6"/>
      <c r="Z311" s="6"/>
    </row>
    <row r="312">
      <c r="A312" s="9"/>
      <c r="B312" s="9"/>
      <c r="C312" s="9"/>
      <c r="D312" s="6"/>
      <c r="E312" s="9"/>
      <c r="F312" s="6"/>
      <c r="G312" s="6"/>
      <c r="H312" s="6"/>
      <c r="I312" s="6"/>
      <c r="J312" s="6"/>
      <c r="K312" s="6"/>
      <c r="L312" s="6"/>
      <c r="M312" s="6"/>
      <c r="N312" s="6"/>
      <c r="O312" s="6"/>
      <c r="P312" s="6"/>
      <c r="Q312" s="6"/>
      <c r="R312" s="6"/>
      <c r="S312" s="6"/>
      <c r="T312" s="6"/>
      <c r="U312" s="6"/>
      <c r="V312" s="6"/>
      <c r="W312" s="6"/>
      <c r="X312" s="6"/>
      <c r="Y312" s="6"/>
      <c r="Z312" s="6"/>
    </row>
    <row r="313">
      <c r="A313" s="9"/>
      <c r="B313" s="9"/>
      <c r="C313" s="9"/>
      <c r="D313" s="6"/>
      <c r="E313" s="9"/>
      <c r="F313" s="6"/>
      <c r="G313" s="6"/>
      <c r="H313" s="6"/>
      <c r="I313" s="6"/>
      <c r="J313" s="6"/>
      <c r="K313" s="6"/>
      <c r="L313" s="6"/>
      <c r="M313" s="6"/>
      <c r="N313" s="6"/>
      <c r="O313" s="6"/>
      <c r="P313" s="6"/>
      <c r="Q313" s="6"/>
      <c r="R313" s="6"/>
      <c r="S313" s="6"/>
      <c r="T313" s="6"/>
      <c r="U313" s="6"/>
      <c r="V313" s="6"/>
      <c r="W313" s="6"/>
      <c r="X313" s="6"/>
      <c r="Y313" s="6"/>
      <c r="Z313" s="6"/>
    </row>
    <row r="314">
      <c r="A314" s="9"/>
      <c r="B314" s="9"/>
      <c r="C314" s="9"/>
      <c r="D314" s="6"/>
      <c r="E314" s="9"/>
      <c r="F314" s="6"/>
      <c r="G314" s="6"/>
      <c r="H314" s="6"/>
      <c r="I314" s="6"/>
      <c r="J314" s="6"/>
      <c r="K314" s="6"/>
      <c r="L314" s="6"/>
      <c r="M314" s="6"/>
      <c r="N314" s="6"/>
      <c r="O314" s="6"/>
      <c r="P314" s="6"/>
      <c r="Q314" s="6"/>
      <c r="R314" s="6"/>
      <c r="S314" s="6"/>
      <c r="T314" s="6"/>
      <c r="U314" s="6"/>
      <c r="V314" s="6"/>
      <c r="W314" s="6"/>
      <c r="X314" s="6"/>
      <c r="Y314" s="6"/>
      <c r="Z314" s="6"/>
    </row>
    <row r="315">
      <c r="A315" s="9"/>
      <c r="B315" s="9"/>
      <c r="C315" s="9"/>
      <c r="D315" s="6"/>
      <c r="E315" s="9"/>
      <c r="F315" s="6"/>
      <c r="G315" s="6"/>
      <c r="H315" s="6"/>
      <c r="I315" s="6"/>
      <c r="J315" s="6"/>
      <c r="K315" s="6"/>
      <c r="L315" s="6"/>
      <c r="M315" s="6"/>
      <c r="N315" s="6"/>
      <c r="O315" s="6"/>
      <c r="P315" s="6"/>
      <c r="Q315" s="6"/>
      <c r="R315" s="6"/>
      <c r="S315" s="6"/>
      <c r="T315" s="6"/>
      <c r="U315" s="6"/>
      <c r="V315" s="6"/>
      <c r="W315" s="6"/>
      <c r="X315" s="6"/>
      <c r="Y315" s="6"/>
      <c r="Z315" s="6"/>
    </row>
    <row r="316">
      <c r="A316" s="9"/>
      <c r="B316" s="9"/>
      <c r="C316" s="9"/>
      <c r="D316" s="6"/>
      <c r="E316" s="9"/>
      <c r="F316" s="6"/>
      <c r="G316" s="6"/>
      <c r="H316" s="6"/>
      <c r="I316" s="6"/>
      <c r="J316" s="6"/>
      <c r="K316" s="6"/>
      <c r="L316" s="6"/>
      <c r="M316" s="6"/>
      <c r="N316" s="6"/>
      <c r="O316" s="6"/>
      <c r="P316" s="6"/>
      <c r="Q316" s="6"/>
      <c r="R316" s="6"/>
      <c r="S316" s="6"/>
      <c r="T316" s="6"/>
      <c r="U316" s="6"/>
      <c r="V316" s="6"/>
      <c r="W316" s="6"/>
      <c r="X316" s="6"/>
      <c r="Y316" s="6"/>
      <c r="Z316" s="6"/>
    </row>
    <row r="317">
      <c r="A317" s="9"/>
      <c r="B317" s="9"/>
      <c r="C317" s="9"/>
      <c r="D317" s="6"/>
      <c r="E317" s="9"/>
      <c r="F317" s="6"/>
      <c r="G317" s="6"/>
      <c r="H317" s="6"/>
      <c r="I317" s="6"/>
      <c r="J317" s="6"/>
      <c r="K317" s="6"/>
      <c r="L317" s="6"/>
      <c r="M317" s="6"/>
      <c r="N317" s="6"/>
      <c r="O317" s="6"/>
      <c r="P317" s="6"/>
      <c r="Q317" s="6"/>
      <c r="R317" s="6"/>
      <c r="S317" s="6"/>
      <c r="T317" s="6"/>
      <c r="U317" s="6"/>
      <c r="V317" s="6"/>
      <c r="W317" s="6"/>
      <c r="X317" s="6"/>
      <c r="Y317" s="6"/>
      <c r="Z317" s="6"/>
    </row>
    <row r="318">
      <c r="A318" s="9"/>
      <c r="B318" s="9"/>
      <c r="C318" s="9"/>
      <c r="D318" s="6"/>
      <c r="E318" s="9"/>
      <c r="F318" s="6"/>
      <c r="G318" s="6"/>
      <c r="H318" s="6"/>
      <c r="I318" s="6"/>
      <c r="J318" s="6"/>
      <c r="K318" s="6"/>
      <c r="L318" s="6"/>
      <c r="M318" s="6"/>
      <c r="N318" s="6"/>
      <c r="O318" s="6"/>
      <c r="P318" s="6"/>
      <c r="Q318" s="6"/>
      <c r="R318" s="6"/>
      <c r="S318" s="6"/>
      <c r="T318" s="6"/>
      <c r="U318" s="6"/>
      <c r="V318" s="6"/>
      <c r="W318" s="6"/>
      <c r="X318" s="6"/>
      <c r="Y318" s="6"/>
      <c r="Z318" s="6"/>
    </row>
    <row r="319">
      <c r="A319" s="9"/>
      <c r="B319" s="9"/>
      <c r="C319" s="9"/>
      <c r="D319" s="6"/>
      <c r="E319" s="9"/>
      <c r="F319" s="6"/>
      <c r="G319" s="6"/>
      <c r="H319" s="6"/>
      <c r="I319" s="6"/>
      <c r="J319" s="6"/>
      <c r="K319" s="6"/>
      <c r="L319" s="6"/>
      <c r="M319" s="6"/>
      <c r="N319" s="6"/>
      <c r="O319" s="6"/>
      <c r="P319" s="6"/>
      <c r="Q319" s="6"/>
      <c r="R319" s="6"/>
      <c r="S319" s="6"/>
      <c r="T319" s="6"/>
      <c r="U319" s="6"/>
      <c r="V319" s="6"/>
      <c r="W319" s="6"/>
      <c r="X319" s="6"/>
      <c r="Y319" s="6"/>
      <c r="Z319" s="6"/>
    </row>
    <row r="320">
      <c r="A320" s="9"/>
      <c r="B320" s="9"/>
      <c r="C320" s="9"/>
      <c r="D320" s="6"/>
      <c r="E320" s="9"/>
      <c r="F320" s="6"/>
      <c r="G320" s="6"/>
      <c r="H320" s="6"/>
      <c r="I320" s="6"/>
      <c r="J320" s="6"/>
      <c r="K320" s="6"/>
      <c r="L320" s="6"/>
      <c r="M320" s="6"/>
      <c r="N320" s="6"/>
      <c r="O320" s="6"/>
      <c r="P320" s="6"/>
      <c r="Q320" s="6"/>
      <c r="R320" s="6"/>
      <c r="S320" s="6"/>
      <c r="T320" s="6"/>
      <c r="U320" s="6"/>
      <c r="V320" s="6"/>
      <c r="W320" s="6"/>
      <c r="X320" s="6"/>
      <c r="Y320" s="6"/>
      <c r="Z320" s="6"/>
    </row>
    <row r="321">
      <c r="A321" s="9"/>
      <c r="B321" s="9"/>
      <c r="C321" s="9"/>
      <c r="D321" s="6"/>
      <c r="E321" s="9"/>
      <c r="F321" s="6"/>
      <c r="G321" s="6"/>
      <c r="H321" s="6"/>
      <c r="I321" s="6"/>
      <c r="J321" s="6"/>
      <c r="K321" s="6"/>
      <c r="L321" s="6"/>
      <c r="M321" s="6"/>
      <c r="N321" s="6"/>
      <c r="O321" s="6"/>
      <c r="P321" s="6"/>
      <c r="Q321" s="6"/>
      <c r="R321" s="6"/>
      <c r="S321" s="6"/>
      <c r="T321" s="6"/>
      <c r="U321" s="6"/>
      <c r="V321" s="6"/>
      <c r="W321" s="6"/>
      <c r="X321" s="6"/>
      <c r="Y321" s="6"/>
      <c r="Z321" s="6"/>
    </row>
    <row r="322">
      <c r="A322" s="9"/>
      <c r="B322" s="9"/>
      <c r="C322" s="9"/>
      <c r="D322" s="6"/>
      <c r="E322" s="9"/>
      <c r="F322" s="6"/>
      <c r="G322" s="6"/>
      <c r="H322" s="6"/>
      <c r="I322" s="6"/>
      <c r="J322" s="6"/>
      <c r="K322" s="6"/>
      <c r="L322" s="6"/>
      <c r="M322" s="6"/>
      <c r="N322" s="6"/>
      <c r="O322" s="6"/>
      <c r="P322" s="6"/>
      <c r="Q322" s="6"/>
      <c r="R322" s="6"/>
      <c r="S322" s="6"/>
      <c r="T322" s="6"/>
      <c r="U322" s="6"/>
      <c r="V322" s="6"/>
      <c r="W322" s="6"/>
      <c r="X322" s="6"/>
      <c r="Y322" s="6"/>
      <c r="Z322" s="6"/>
    </row>
    <row r="323">
      <c r="A323" s="9"/>
      <c r="B323" s="9"/>
      <c r="C323" s="9"/>
      <c r="D323" s="6"/>
      <c r="E323" s="9"/>
      <c r="F323" s="6"/>
      <c r="G323" s="6"/>
      <c r="H323" s="6"/>
      <c r="I323" s="6"/>
      <c r="J323" s="6"/>
      <c r="K323" s="6"/>
      <c r="L323" s="6"/>
      <c r="M323" s="6"/>
      <c r="N323" s="6"/>
      <c r="O323" s="6"/>
      <c r="P323" s="6"/>
      <c r="Q323" s="6"/>
      <c r="R323" s="6"/>
      <c r="S323" s="6"/>
      <c r="T323" s="6"/>
      <c r="U323" s="6"/>
      <c r="V323" s="6"/>
      <c r="W323" s="6"/>
      <c r="X323" s="6"/>
      <c r="Y323" s="6"/>
      <c r="Z323" s="6"/>
    </row>
    <row r="324">
      <c r="A324" s="9"/>
      <c r="B324" s="9"/>
      <c r="C324" s="9"/>
      <c r="D324" s="6"/>
      <c r="E324" s="9"/>
      <c r="F324" s="6"/>
      <c r="G324" s="6"/>
      <c r="H324" s="6"/>
      <c r="I324" s="6"/>
      <c r="J324" s="6"/>
      <c r="K324" s="6"/>
      <c r="L324" s="6"/>
      <c r="M324" s="6"/>
      <c r="N324" s="6"/>
      <c r="O324" s="6"/>
      <c r="P324" s="6"/>
      <c r="Q324" s="6"/>
      <c r="R324" s="6"/>
      <c r="S324" s="6"/>
      <c r="T324" s="6"/>
      <c r="U324" s="6"/>
      <c r="V324" s="6"/>
      <c r="W324" s="6"/>
      <c r="X324" s="6"/>
      <c r="Y324" s="6"/>
      <c r="Z324" s="6"/>
    </row>
    <row r="325">
      <c r="A325" s="9"/>
      <c r="B325" s="9"/>
      <c r="C325" s="9"/>
      <c r="D325" s="6"/>
      <c r="E325" s="9"/>
      <c r="F325" s="6"/>
      <c r="G325" s="6"/>
      <c r="H325" s="6"/>
      <c r="I325" s="6"/>
      <c r="J325" s="6"/>
      <c r="K325" s="6"/>
      <c r="L325" s="6"/>
      <c r="M325" s="6"/>
      <c r="N325" s="6"/>
      <c r="O325" s="6"/>
      <c r="P325" s="6"/>
      <c r="Q325" s="6"/>
      <c r="R325" s="6"/>
      <c r="S325" s="6"/>
      <c r="T325" s="6"/>
      <c r="U325" s="6"/>
      <c r="V325" s="6"/>
      <c r="W325" s="6"/>
      <c r="X325" s="6"/>
      <c r="Y325" s="6"/>
      <c r="Z325" s="6"/>
    </row>
    <row r="326">
      <c r="A326" s="9"/>
      <c r="B326" s="9"/>
      <c r="C326" s="9"/>
      <c r="D326" s="6"/>
      <c r="E326" s="9"/>
      <c r="F326" s="6"/>
      <c r="G326" s="6"/>
      <c r="H326" s="6"/>
      <c r="I326" s="6"/>
      <c r="J326" s="6"/>
      <c r="K326" s="6"/>
      <c r="L326" s="6"/>
      <c r="M326" s="6"/>
      <c r="N326" s="6"/>
      <c r="O326" s="6"/>
      <c r="P326" s="6"/>
      <c r="Q326" s="6"/>
      <c r="R326" s="6"/>
      <c r="S326" s="6"/>
      <c r="T326" s="6"/>
      <c r="U326" s="6"/>
      <c r="V326" s="6"/>
      <c r="W326" s="6"/>
      <c r="X326" s="6"/>
      <c r="Y326" s="6"/>
      <c r="Z326" s="6"/>
    </row>
    <row r="327">
      <c r="A327" s="9"/>
      <c r="B327" s="9"/>
      <c r="C327" s="9"/>
      <c r="D327" s="6"/>
      <c r="E327" s="9"/>
      <c r="F327" s="6"/>
      <c r="G327" s="6"/>
      <c r="H327" s="6"/>
      <c r="I327" s="6"/>
      <c r="J327" s="6"/>
      <c r="K327" s="6"/>
      <c r="L327" s="6"/>
      <c r="M327" s="6"/>
      <c r="N327" s="6"/>
      <c r="O327" s="6"/>
      <c r="P327" s="6"/>
      <c r="Q327" s="6"/>
      <c r="R327" s="6"/>
      <c r="S327" s="6"/>
      <c r="T327" s="6"/>
      <c r="U327" s="6"/>
      <c r="V327" s="6"/>
      <c r="W327" s="6"/>
      <c r="X327" s="6"/>
      <c r="Y327" s="6"/>
      <c r="Z327" s="6"/>
    </row>
    <row r="328">
      <c r="A328" s="9"/>
      <c r="B328" s="9"/>
      <c r="C328" s="9"/>
      <c r="D328" s="6"/>
      <c r="E328" s="9"/>
      <c r="F328" s="6"/>
      <c r="G328" s="6"/>
      <c r="H328" s="6"/>
      <c r="I328" s="6"/>
      <c r="J328" s="6"/>
      <c r="K328" s="6"/>
      <c r="L328" s="6"/>
      <c r="M328" s="6"/>
      <c r="N328" s="6"/>
      <c r="O328" s="6"/>
      <c r="P328" s="6"/>
      <c r="Q328" s="6"/>
      <c r="R328" s="6"/>
      <c r="S328" s="6"/>
      <c r="T328" s="6"/>
      <c r="U328" s="6"/>
      <c r="V328" s="6"/>
      <c r="W328" s="6"/>
      <c r="X328" s="6"/>
      <c r="Y328" s="6"/>
      <c r="Z328" s="6"/>
    </row>
    <row r="329">
      <c r="A329" s="9"/>
      <c r="B329" s="9"/>
      <c r="C329" s="9"/>
      <c r="D329" s="6"/>
      <c r="E329" s="9"/>
      <c r="F329" s="6"/>
      <c r="G329" s="6"/>
      <c r="H329" s="6"/>
      <c r="I329" s="6"/>
      <c r="J329" s="6"/>
      <c r="K329" s="6"/>
      <c r="L329" s="6"/>
      <c r="M329" s="6"/>
      <c r="N329" s="6"/>
      <c r="O329" s="6"/>
      <c r="P329" s="6"/>
      <c r="Q329" s="6"/>
      <c r="R329" s="6"/>
      <c r="S329" s="6"/>
      <c r="T329" s="6"/>
      <c r="U329" s="6"/>
      <c r="V329" s="6"/>
      <c r="W329" s="6"/>
      <c r="X329" s="6"/>
      <c r="Y329" s="6"/>
      <c r="Z329" s="6"/>
    </row>
    <row r="330">
      <c r="A330" s="9"/>
      <c r="B330" s="9"/>
      <c r="C330" s="9"/>
      <c r="D330" s="6"/>
      <c r="E330" s="9"/>
      <c r="F330" s="6"/>
      <c r="G330" s="6"/>
      <c r="H330" s="6"/>
      <c r="I330" s="6"/>
      <c r="J330" s="6"/>
      <c r="K330" s="6"/>
      <c r="L330" s="6"/>
      <c r="M330" s="6"/>
      <c r="N330" s="6"/>
      <c r="O330" s="6"/>
      <c r="P330" s="6"/>
      <c r="Q330" s="6"/>
      <c r="R330" s="6"/>
      <c r="S330" s="6"/>
      <c r="T330" s="6"/>
      <c r="U330" s="6"/>
      <c r="V330" s="6"/>
      <c r="W330" s="6"/>
      <c r="X330" s="6"/>
      <c r="Y330" s="6"/>
      <c r="Z330" s="6"/>
    </row>
    <row r="331">
      <c r="A331" s="9"/>
      <c r="B331" s="9"/>
      <c r="C331" s="9"/>
      <c r="D331" s="6"/>
      <c r="E331" s="9"/>
      <c r="F331" s="6"/>
      <c r="G331" s="6"/>
      <c r="H331" s="6"/>
      <c r="I331" s="6"/>
      <c r="J331" s="6"/>
      <c r="K331" s="6"/>
      <c r="L331" s="6"/>
      <c r="M331" s="6"/>
      <c r="N331" s="6"/>
      <c r="O331" s="6"/>
      <c r="P331" s="6"/>
      <c r="Q331" s="6"/>
      <c r="R331" s="6"/>
      <c r="S331" s="6"/>
      <c r="T331" s="6"/>
      <c r="U331" s="6"/>
      <c r="V331" s="6"/>
      <c r="W331" s="6"/>
      <c r="X331" s="6"/>
      <c r="Y331" s="6"/>
      <c r="Z331" s="6"/>
    </row>
    <row r="332">
      <c r="A332" s="9"/>
      <c r="B332" s="9"/>
      <c r="C332" s="9"/>
      <c r="D332" s="6"/>
      <c r="E332" s="9"/>
      <c r="F332" s="6"/>
      <c r="G332" s="6"/>
      <c r="H332" s="6"/>
      <c r="I332" s="6"/>
      <c r="J332" s="6"/>
      <c r="K332" s="6"/>
      <c r="L332" s="6"/>
      <c r="M332" s="6"/>
      <c r="N332" s="6"/>
      <c r="O332" s="6"/>
      <c r="P332" s="6"/>
      <c r="Q332" s="6"/>
      <c r="R332" s="6"/>
      <c r="S332" s="6"/>
      <c r="T332" s="6"/>
      <c r="U332" s="6"/>
      <c r="V332" s="6"/>
      <c r="W332" s="6"/>
      <c r="X332" s="6"/>
      <c r="Y332" s="6"/>
      <c r="Z332" s="6"/>
    </row>
    <row r="333">
      <c r="A333" s="9"/>
      <c r="B333" s="9"/>
      <c r="C333" s="9"/>
      <c r="D333" s="6"/>
      <c r="E333" s="9"/>
      <c r="F333" s="6"/>
      <c r="G333" s="6"/>
      <c r="H333" s="6"/>
      <c r="I333" s="6"/>
      <c r="J333" s="6"/>
      <c r="K333" s="6"/>
      <c r="L333" s="6"/>
      <c r="M333" s="6"/>
      <c r="N333" s="6"/>
      <c r="O333" s="6"/>
      <c r="P333" s="6"/>
      <c r="Q333" s="6"/>
      <c r="R333" s="6"/>
      <c r="S333" s="6"/>
      <c r="T333" s="6"/>
      <c r="U333" s="6"/>
      <c r="V333" s="6"/>
      <c r="W333" s="6"/>
      <c r="X333" s="6"/>
      <c r="Y333" s="6"/>
      <c r="Z333" s="6"/>
    </row>
    <row r="334">
      <c r="A334" s="9"/>
      <c r="B334" s="9"/>
      <c r="C334" s="9"/>
      <c r="D334" s="6"/>
      <c r="E334" s="9"/>
      <c r="F334" s="6"/>
      <c r="G334" s="6"/>
      <c r="H334" s="6"/>
      <c r="I334" s="6"/>
      <c r="J334" s="6"/>
      <c r="K334" s="6"/>
      <c r="L334" s="6"/>
      <c r="M334" s="6"/>
      <c r="N334" s="6"/>
      <c r="O334" s="6"/>
      <c r="P334" s="6"/>
      <c r="Q334" s="6"/>
      <c r="R334" s="6"/>
      <c r="S334" s="6"/>
      <c r="T334" s="6"/>
      <c r="U334" s="6"/>
      <c r="V334" s="6"/>
      <c r="W334" s="6"/>
      <c r="X334" s="6"/>
      <c r="Y334" s="6"/>
      <c r="Z334" s="6"/>
    </row>
    <row r="335">
      <c r="A335" s="9"/>
      <c r="B335" s="9"/>
      <c r="C335" s="9"/>
      <c r="D335" s="6"/>
      <c r="E335" s="9"/>
      <c r="F335" s="6"/>
      <c r="G335" s="6"/>
      <c r="H335" s="6"/>
      <c r="I335" s="6"/>
      <c r="J335" s="6"/>
      <c r="K335" s="6"/>
      <c r="L335" s="6"/>
      <c r="M335" s="6"/>
      <c r="N335" s="6"/>
      <c r="O335" s="6"/>
      <c r="P335" s="6"/>
      <c r="Q335" s="6"/>
      <c r="R335" s="6"/>
      <c r="S335" s="6"/>
      <c r="T335" s="6"/>
      <c r="U335" s="6"/>
      <c r="V335" s="6"/>
      <c r="W335" s="6"/>
      <c r="X335" s="6"/>
      <c r="Y335" s="6"/>
      <c r="Z335" s="6"/>
    </row>
    <row r="336">
      <c r="A336" s="9"/>
      <c r="B336" s="9"/>
      <c r="C336" s="9"/>
      <c r="D336" s="6"/>
      <c r="E336" s="9"/>
      <c r="F336" s="6"/>
      <c r="G336" s="6"/>
      <c r="H336" s="6"/>
      <c r="I336" s="6"/>
      <c r="J336" s="6"/>
      <c r="K336" s="6"/>
      <c r="L336" s="6"/>
      <c r="M336" s="6"/>
      <c r="N336" s="6"/>
      <c r="O336" s="6"/>
      <c r="P336" s="6"/>
      <c r="Q336" s="6"/>
      <c r="R336" s="6"/>
      <c r="S336" s="6"/>
      <c r="T336" s="6"/>
      <c r="U336" s="6"/>
      <c r="V336" s="6"/>
      <c r="W336" s="6"/>
      <c r="X336" s="6"/>
      <c r="Y336" s="6"/>
      <c r="Z336" s="6"/>
    </row>
    <row r="337">
      <c r="A337" s="9"/>
      <c r="B337" s="9"/>
      <c r="C337" s="9"/>
      <c r="D337" s="6"/>
      <c r="E337" s="9"/>
      <c r="F337" s="6"/>
      <c r="G337" s="6"/>
      <c r="H337" s="6"/>
      <c r="I337" s="6"/>
      <c r="J337" s="6"/>
      <c r="K337" s="6"/>
      <c r="L337" s="6"/>
      <c r="M337" s="6"/>
      <c r="N337" s="6"/>
      <c r="O337" s="6"/>
      <c r="P337" s="6"/>
      <c r="Q337" s="6"/>
      <c r="R337" s="6"/>
      <c r="S337" s="6"/>
      <c r="T337" s="6"/>
      <c r="U337" s="6"/>
      <c r="V337" s="6"/>
      <c r="W337" s="6"/>
      <c r="X337" s="6"/>
      <c r="Y337" s="6"/>
      <c r="Z337" s="6"/>
    </row>
    <row r="338">
      <c r="A338" s="9"/>
      <c r="B338" s="9"/>
      <c r="C338" s="9"/>
      <c r="D338" s="6"/>
      <c r="E338" s="9"/>
      <c r="F338" s="6"/>
      <c r="G338" s="6"/>
      <c r="H338" s="6"/>
      <c r="I338" s="6"/>
      <c r="J338" s="6"/>
      <c r="K338" s="6"/>
      <c r="L338" s="6"/>
      <c r="M338" s="6"/>
      <c r="N338" s="6"/>
      <c r="O338" s="6"/>
      <c r="P338" s="6"/>
      <c r="Q338" s="6"/>
      <c r="R338" s="6"/>
      <c r="S338" s="6"/>
      <c r="T338" s="6"/>
      <c r="U338" s="6"/>
      <c r="V338" s="6"/>
      <c r="W338" s="6"/>
      <c r="X338" s="6"/>
      <c r="Y338" s="6"/>
      <c r="Z338" s="6"/>
    </row>
    <row r="339">
      <c r="A339" s="9"/>
      <c r="B339" s="9"/>
      <c r="C339" s="9"/>
      <c r="D339" s="6"/>
      <c r="E339" s="9"/>
      <c r="F339" s="6"/>
      <c r="G339" s="6"/>
      <c r="H339" s="6"/>
      <c r="I339" s="6"/>
      <c r="J339" s="6"/>
      <c r="K339" s="6"/>
      <c r="L339" s="6"/>
      <c r="M339" s="6"/>
      <c r="N339" s="6"/>
      <c r="O339" s="6"/>
      <c r="P339" s="6"/>
      <c r="Q339" s="6"/>
      <c r="R339" s="6"/>
      <c r="S339" s="6"/>
      <c r="T339" s="6"/>
      <c r="U339" s="6"/>
      <c r="V339" s="6"/>
      <c r="W339" s="6"/>
      <c r="X339" s="6"/>
      <c r="Y339" s="6"/>
      <c r="Z339" s="6"/>
    </row>
    <row r="340">
      <c r="A340" s="9"/>
      <c r="B340" s="9"/>
      <c r="C340" s="9"/>
      <c r="D340" s="6"/>
      <c r="E340" s="9"/>
      <c r="F340" s="6"/>
      <c r="G340" s="6"/>
      <c r="H340" s="6"/>
      <c r="I340" s="6"/>
      <c r="J340" s="6"/>
      <c r="K340" s="6"/>
      <c r="L340" s="6"/>
      <c r="M340" s="6"/>
      <c r="N340" s="6"/>
      <c r="O340" s="6"/>
      <c r="P340" s="6"/>
      <c r="Q340" s="6"/>
      <c r="R340" s="6"/>
      <c r="S340" s="6"/>
      <c r="T340" s="6"/>
      <c r="U340" s="6"/>
      <c r="V340" s="6"/>
      <c r="W340" s="6"/>
      <c r="X340" s="6"/>
      <c r="Y340" s="6"/>
      <c r="Z340" s="6"/>
    </row>
    <row r="341">
      <c r="A341" s="9"/>
      <c r="B341" s="9"/>
      <c r="C341" s="9"/>
      <c r="D341" s="6"/>
      <c r="E341" s="9"/>
      <c r="F341" s="6"/>
      <c r="G341" s="6"/>
      <c r="H341" s="6"/>
      <c r="I341" s="6"/>
      <c r="J341" s="6"/>
      <c r="K341" s="6"/>
      <c r="L341" s="6"/>
      <c r="M341" s="6"/>
      <c r="N341" s="6"/>
      <c r="O341" s="6"/>
      <c r="P341" s="6"/>
      <c r="Q341" s="6"/>
      <c r="R341" s="6"/>
      <c r="S341" s="6"/>
      <c r="T341" s="6"/>
      <c r="U341" s="6"/>
      <c r="V341" s="6"/>
      <c r="W341" s="6"/>
      <c r="X341" s="6"/>
      <c r="Y341" s="6"/>
      <c r="Z341" s="6"/>
    </row>
    <row r="342">
      <c r="A342" s="9"/>
      <c r="B342" s="9"/>
      <c r="C342" s="9"/>
      <c r="D342" s="6"/>
      <c r="E342" s="9"/>
      <c r="F342" s="6"/>
      <c r="G342" s="6"/>
      <c r="H342" s="6"/>
      <c r="I342" s="6"/>
      <c r="J342" s="6"/>
      <c r="K342" s="6"/>
      <c r="L342" s="6"/>
      <c r="M342" s="6"/>
      <c r="N342" s="6"/>
      <c r="O342" s="6"/>
      <c r="P342" s="6"/>
      <c r="Q342" s="6"/>
      <c r="R342" s="6"/>
      <c r="S342" s="6"/>
      <c r="T342" s="6"/>
      <c r="U342" s="6"/>
      <c r="V342" s="6"/>
      <c r="W342" s="6"/>
      <c r="X342" s="6"/>
      <c r="Y342" s="6"/>
      <c r="Z342" s="6"/>
    </row>
    <row r="343">
      <c r="A343" s="9"/>
      <c r="B343" s="9"/>
      <c r="C343" s="9"/>
      <c r="D343" s="6"/>
      <c r="E343" s="9"/>
      <c r="F343" s="6"/>
      <c r="G343" s="6"/>
      <c r="H343" s="6"/>
      <c r="I343" s="6"/>
      <c r="J343" s="6"/>
      <c r="K343" s="6"/>
      <c r="L343" s="6"/>
      <c r="M343" s="6"/>
      <c r="N343" s="6"/>
      <c r="O343" s="6"/>
      <c r="P343" s="6"/>
      <c r="Q343" s="6"/>
      <c r="R343" s="6"/>
      <c r="S343" s="6"/>
      <c r="T343" s="6"/>
      <c r="U343" s="6"/>
      <c r="V343" s="6"/>
      <c r="W343" s="6"/>
      <c r="X343" s="6"/>
      <c r="Y343" s="6"/>
      <c r="Z343" s="6"/>
    </row>
    <row r="344">
      <c r="A344" s="9"/>
      <c r="B344" s="9"/>
      <c r="C344" s="9"/>
      <c r="D344" s="6"/>
      <c r="E344" s="9"/>
      <c r="F344" s="6"/>
      <c r="G344" s="6"/>
      <c r="H344" s="6"/>
      <c r="I344" s="6"/>
      <c r="J344" s="6"/>
      <c r="K344" s="6"/>
      <c r="L344" s="6"/>
      <c r="M344" s="6"/>
      <c r="N344" s="6"/>
      <c r="O344" s="6"/>
      <c r="P344" s="6"/>
      <c r="Q344" s="6"/>
      <c r="R344" s="6"/>
      <c r="S344" s="6"/>
      <c r="T344" s="6"/>
      <c r="U344" s="6"/>
      <c r="V344" s="6"/>
      <c r="W344" s="6"/>
      <c r="X344" s="6"/>
      <c r="Y344" s="6"/>
      <c r="Z344" s="6"/>
    </row>
    <row r="345">
      <c r="A345" s="9"/>
      <c r="B345" s="9"/>
      <c r="C345" s="9"/>
      <c r="D345" s="6"/>
      <c r="E345" s="9"/>
      <c r="F345" s="6"/>
      <c r="G345" s="6"/>
      <c r="H345" s="6"/>
      <c r="I345" s="6"/>
      <c r="J345" s="6"/>
      <c r="K345" s="6"/>
      <c r="L345" s="6"/>
      <c r="M345" s="6"/>
      <c r="N345" s="6"/>
      <c r="O345" s="6"/>
      <c r="P345" s="6"/>
      <c r="Q345" s="6"/>
      <c r="R345" s="6"/>
      <c r="S345" s="6"/>
      <c r="T345" s="6"/>
      <c r="U345" s="6"/>
      <c r="V345" s="6"/>
      <c r="W345" s="6"/>
      <c r="X345" s="6"/>
      <c r="Y345" s="6"/>
      <c r="Z345" s="6"/>
    </row>
    <row r="346">
      <c r="A346" s="9"/>
      <c r="B346" s="9"/>
      <c r="C346" s="9"/>
      <c r="D346" s="6"/>
      <c r="E346" s="9"/>
      <c r="F346" s="6"/>
      <c r="G346" s="6"/>
      <c r="H346" s="6"/>
      <c r="I346" s="6"/>
      <c r="J346" s="6"/>
      <c r="K346" s="6"/>
      <c r="L346" s="6"/>
      <c r="M346" s="6"/>
      <c r="N346" s="6"/>
      <c r="O346" s="6"/>
      <c r="P346" s="6"/>
      <c r="Q346" s="6"/>
      <c r="R346" s="6"/>
      <c r="S346" s="6"/>
      <c r="T346" s="6"/>
      <c r="U346" s="6"/>
      <c r="V346" s="6"/>
      <c r="W346" s="6"/>
      <c r="X346" s="6"/>
      <c r="Y346" s="6"/>
      <c r="Z346" s="6"/>
    </row>
    <row r="347">
      <c r="A347" s="9"/>
      <c r="B347" s="9"/>
      <c r="C347" s="9"/>
      <c r="D347" s="6"/>
      <c r="E347" s="9"/>
      <c r="F347" s="6"/>
      <c r="G347" s="6"/>
      <c r="H347" s="6"/>
      <c r="I347" s="6"/>
      <c r="J347" s="6"/>
      <c r="K347" s="6"/>
      <c r="L347" s="6"/>
      <c r="M347" s="6"/>
      <c r="N347" s="6"/>
      <c r="O347" s="6"/>
      <c r="P347" s="6"/>
      <c r="Q347" s="6"/>
      <c r="R347" s="6"/>
      <c r="S347" s="6"/>
      <c r="T347" s="6"/>
      <c r="U347" s="6"/>
      <c r="V347" s="6"/>
      <c r="W347" s="6"/>
      <c r="X347" s="6"/>
      <c r="Y347" s="6"/>
      <c r="Z347" s="6"/>
    </row>
    <row r="348">
      <c r="A348" s="9"/>
      <c r="B348" s="9"/>
      <c r="C348" s="9"/>
      <c r="D348" s="6"/>
      <c r="E348" s="9"/>
      <c r="F348" s="6"/>
      <c r="G348" s="6"/>
      <c r="H348" s="6"/>
      <c r="I348" s="6"/>
      <c r="J348" s="6"/>
      <c r="K348" s="6"/>
      <c r="L348" s="6"/>
      <c r="M348" s="6"/>
      <c r="N348" s="6"/>
      <c r="O348" s="6"/>
      <c r="P348" s="6"/>
      <c r="Q348" s="6"/>
      <c r="R348" s="6"/>
      <c r="S348" s="6"/>
      <c r="T348" s="6"/>
      <c r="U348" s="6"/>
      <c r="V348" s="6"/>
      <c r="W348" s="6"/>
      <c r="X348" s="6"/>
      <c r="Y348" s="6"/>
      <c r="Z348" s="6"/>
    </row>
    <row r="349">
      <c r="A349" s="9"/>
      <c r="B349" s="9"/>
      <c r="C349" s="9"/>
      <c r="D349" s="6"/>
      <c r="E349" s="9"/>
      <c r="F349" s="6"/>
      <c r="G349" s="6"/>
      <c r="H349" s="6"/>
      <c r="I349" s="6"/>
      <c r="J349" s="6"/>
      <c r="K349" s="6"/>
      <c r="L349" s="6"/>
      <c r="M349" s="6"/>
      <c r="N349" s="6"/>
      <c r="O349" s="6"/>
      <c r="P349" s="6"/>
      <c r="Q349" s="6"/>
      <c r="R349" s="6"/>
      <c r="S349" s="6"/>
      <c r="T349" s="6"/>
      <c r="U349" s="6"/>
      <c r="V349" s="6"/>
      <c r="W349" s="6"/>
      <c r="X349" s="6"/>
      <c r="Y349" s="6"/>
      <c r="Z349" s="6"/>
    </row>
    <row r="350">
      <c r="A350" s="9"/>
      <c r="B350" s="9"/>
      <c r="C350" s="9"/>
      <c r="D350" s="6"/>
      <c r="E350" s="9"/>
      <c r="F350" s="6"/>
      <c r="G350" s="6"/>
      <c r="H350" s="6"/>
      <c r="I350" s="6"/>
      <c r="J350" s="6"/>
      <c r="K350" s="6"/>
      <c r="L350" s="6"/>
      <c r="M350" s="6"/>
      <c r="N350" s="6"/>
      <c r="O350" s="6"/>
      <c r="P350" s="6"/>
      <c r="Q350" s="6"/>
      <c r="R350" s="6"/>
      <c r="S350" s="6"/>
      <c r="T350" s="6"/>
      <c r="U350" s="6"/>
      <c r="V350" s="6"/>
      <c r="W350" s="6"/>
      <c r="X350" s="6"/>
      <c r="Y350" s="6"/>
      <c r="Z350" s="6"/>
    </row>
    <row r="351">
      <c r="A351" s="9"/>
      <c r="B351" s="9"/>
      <c r="C351" s="9"/>
      <c r="D351" s="6"/>
      <c r="E351" s="9"/>
      <c r="F351" s="6"/>
      <c r="G351" s="6"/>
      <c r="H351" s="6"/>
      <c r="I351" s="6"/>
      <c r="J351" s="6"/>
      <c r="K351" s="6"/>
      <c r="L351" s="6"/>
      <c r="M351" s="6"/>
      <c r="N351" s="6"/>
      <c r="O351" s="6"/>
      <c r="P351" s="6"/>
      <c r="Q351" s="6"/>
      <c r="R351" s="6"/>
      <c r="S351" s="6"/>
      <c r="T351" s="6"/>
      <c r="U351" s="6"/>
      <c r="V351" s="6"/>
      <c r="W351" s="6"/>
      <c r="X351" s="6"/>
      <c r="Y351" s="6"/>
      <c r="Z351" s="6"/>
    </row>
    <row r="352">
      <c r="A352" s="9"/>
      <c r="B352" s="9"/>
      <c r="C352" s="9"/>
      <c r="D352" s="6"/>
      <c r="E352" s="9"/>
      <c r="F352" s="6"/>
      <c r="G352" s="6"/>
      <c r="H352" s="6"/>
      <c r="I352" s="6"/>
      <c r="J352" s="6"/>
      <c r="K352" s="6"/>
      <c r="L352" s="6"/>
      <c r="M352" s="6"/>
      <c r="N352" s="6"/>
      <c r="O352" s="6"/>
      <c r="P352" s="6"/>
      <c r="Q352" s="6"/>
      <c r="R352" s="6"/>
      <c r="S352" s="6"/>
      <c r="T352" s="6"/>
      <c r="U352" s="6"/>
      <c r="V352" s="6"/>
      <c r="W352" s="6"/>
      <c r="X352" s="6"/>
      <c r="Y352" s="6"/>
      <c r="Z352" s="6"/>
    </row>
    <row r="353">
      <c r="A353" s="9"/>
      <c r="B353" s="9"/>
      <c r="C353" s="9"/>
      <c r="D353" s="6"/>
      <c r="E353" s="9"/>
      <c r="F353" s="6"/>
      <c r="G353" s="6"/>
      <c r="H353" s="6"/>
      <c r="I353" s="6"/>
      <c r="J353" s="6"/>
      <c r="K353" s="6"/>
      <c r="L353" s="6"/>
      <c r="M353" s="6"/>
      <c r="N353" s="6"/>
      <c r="O353" s="6"/>
      <c r="P353" s="6"/>
      <c r="Q353" s="6"/>
      <c r="R353" s="6"/>
      <c r="S353" s="6"/>
      <c r="T353" s="6"/>
      <c r="U353" s="6"/>
      <c r="V353" s="6"/>
      <c r="W353" s="6"/>
      <c r="X353" s="6"/>
      <c r="Y353" s="6"/>
      <c r="Z353" s="6"/>
    </row>
    <row r="354">
      <c r="A354" s="9"/>
      <c r="B354" s="9"/>
      <c r="C354" s="9"/>
      <c r="D354" s="6"/>
      <c r="E354" s="9"/>
      <c r="F354" s="6"/>
      <c r="G354" s="6"/>
      <c r="H354" s="6"/>
      <c r="I354" s="6"/>
      <c r="J354" s="6"/>
      <c r="K354" s="6"/>
      <c r="L354" s="6"/>
      <c r="M354" s="6"/>
      <c r="N354" s="6"/>
      <c r="O354" s="6"/>
      <c r="P354" s="6"/>
      <c r="Q354" s="6"/>
      <c r="R354" s="6"/>
      <c r="S354" s="6"/>
      <c r="T354" s="6"/>
      <c r="U354" s="6"/>
      <c r="V354" s="6"/>
      <c r="W354" s="6"/>
      <c r="X354" s="6"/>
      <c r="Y354" s="6"/>
      <c r="Z354" s="6"/>
    </row>
    <row r="355">
      <c r="A355" s="9"/>
      <c r="B355" s="9"/>
      <c r="C355" s="9"/>
      <c r="D355" s="6"/>
      <c r="E355" s="9"/>
      <c r="F355" s="6"/>
      <c r="G355" s="6"/>
      <c r="H355" s="6"/>
      <c r="I355" s="6"/>
      <c r="J355" s="6"/>
      <c r="K355" s="6"/>
      <c r="L355" s="6"/>
      <c r="M355" s="6"/>
      <c r="N355" s="6"/>
      <c r="O355" s="6"/>
      <c r="P355" s="6"/>
      <c r="Q355" s="6"/>
      <c r="R355" s="6"/>
      <c r="S355" s="6"/>
      <c r="T355" s="6"/>
      <c r="U355" s="6"/>
      <c r="V355" s="6"/>
      <c r="W355" s="6"/>
      <c r="X355" s="6"/>
      <c r="Y355" s="6"/>
      <c r="Z355" s="6"/>
    </row>
    <row r="356">
      <c r="A356" s="9"/>
      <c r="B356" s="9"/>
      <c r="C356" s="9"/>
      <c r="D356" s="6"/>
      <c r="E356" s="9"/>
      <c r="F356" s="6"/>
      <c r="G356" s="6"/>
      <c r="H356" s="6"/>
      <c r="I356" s="6"/>
      <c r="J356" s="6"/>
      <c r="K356" s="6"/>
      <c r="L356" s="6"/>
      <c r="M356" s="6"/>
      <c r="N356" s="6"/>
      <c r="O356" s="6"/>
      <c r="P356" s="6"/>
      <c r="Q356" s="6"/>
      <c r="R356" s="6"/>
      <c r="S356" s="6"/>
      <c r="T356" s="6"/>
      <c r="U356" s="6"/>
      <c r="V356" s="6"/>
      <c r="W356" s="6"/>
      <c r="X356" s="6"/>
      <c r="Y356" s="6"/>
      <c r="Z356" s="6"/>
    </row>
    <row r="357">
      <c r="A357" s="9"/>
      <c r="B357" s="9"/>
      <c r="C357" s="9"/>
      <c r="D357" s="6"/>
      <c r="E357" s="9"/>
      <c r="F357" s="6"/>
      <c r="G357" s="6"/>
      <c r="H357" s="6"/>
      <c r="I357" s="6"/>
      <c r="J357" s="6"/>
      <c r="K357" s="6"/>
      <c r="L357" s="6"/>
      <c r="M357" s="6"/>
      <c r="N357" s="6"/>
      <c r="O357" s="6"/>
      <c r="P357" s="6"/>
      <c r="Q357" s="6"/>
      <c r="R357" s="6"/>
      <c r="S357" s="6"/>
      <c r="T357" s="6"/>
      <c r="U357" s="6"/>
      <c r="V357" s="6"/>
      <c r="W357" s="6"/>
      <c r="X357" s="6"/>
      <c r="Y357" s="6"/>
      <c r="Z357" s="6"/>
    </row>
    <row r="358">
      <c r="A358" s="9"/>
      <c r="B358" s="9"/>
      <c r="C358" s="9"/>
      <c r="D358" s="6"/>
      <c r="E358" s="9"/>
      <c r="F358" s="6"/>
      <c r="G358" s="6"/>
      <c r="H358" s="6"/>
      <c r="I358" s="6"/>
      <c r="J358" s="6"/>
      <c r="K358" s="6"/>
      <c r="L358" s="6"/>
      <c r="M358" s="6"/>
      <c r="N358" s="6"/>
      <c r="O358" s="6"/>
      <c r="P358" s="6"/>
      <c r="Q358" s="6"/>
      <c r="R358" s="6"/>
      <c r="S358" s="6"/>
      <c r="T358" s="6"/>
      <c r="U358" s="6"/>
      <c r="V358" s="6"/>
      <c r="W358" s="6"/>
      <c r="X358" s="6"/>
      <c r="Y358" s="6"/>
      <c r="Z358" s="6"/>
    </row>
    <row r="359">
      <c r="A359" s="9"/>
      <c r="B359" s="9"/>
      <c r="C359" s="9"/>
      <c r="D359" s="6"/>
      <c r="E359" s="9"/>
      <c r="F359" s="6"/>
      <c r="G359" s="6"/>
      <c r="H359" s="6"/>
      <c r="I359" s="6"/>
      <c r="J359" s="6"/>
      <c r="K359" s="6"/>
      <c r="L359" s="6"/>
      <c r="M359" s="6"/>
      <c r="N359" s="6"/>
      <c r="O359" s="6"/>
      <c r="P359" s="6"/>
      <c r="Q359" s="6"/>
      <c r="R359" s="6"/>
      <c r="S359" s="6"/>
      <c r="T359" s="6"/>
      <c r="U359" s="6"/>
      <c r="V359" s="6"/>
      <c r="W359" s="6"/>
      <c r="X359" s="6"/>
      <c r="Y359" s="6"/>
      <c r="Z359" s="6"/>
    </row>
    <row r="360">
      <c r="A360" s="9"/>
      <c r="B360" s="9"/>
      <c r="C360" s="9"/>
      <c r="D360" s="6"/>
      <c r="E360" s="9"/>
      <c r="F360" s="6"/>
      <c r="G360" s="6"/>
      <c r="H360" s="6"/>
      <c r="I360" s="6"/>
      <c r="J360" s="6"/>
      <c r="K360" s="6"/>
      <c r="L360" s="6"/>
      <c r="M360" s="6"/>
      <c r="N360" s="6"/>
      <c r="O360" s="6"/>
      <c r="P360" s="6"/>
      <c r="Q360" s="6"/>
      <c r="R360" s="6"/>
      <c r="S360" s="6"/>
      <c r="T360" s="6"/>
      <c r="U360" s="6"/>
      <c r="V360" s="6"/>
      <c r="W360" s="6"/>
      <c r="X360" s="6"/>
      <c r="Y360" s="6"/>
      <c r="Z360" s="6"/>
    </row>
    <row r="361">
      <c r="A361" s="9"/>
      <c r="B361" s="9"/>
      <c r="C361" s="9"/>
      <c r="D361" s="6"/>
      <c r="E361" s="9"/>
      <c r="F361" s="6"/>
      <c r="G361" s="6"/>
      <c r="H361" s="6"/>
      <c r="I361" s="6"/>
      <c r="J361" s="6"/>
      <c r="K361" s="6"/>
      <c r="L361" s="6"/>
      <c r="M361" s="6"/>
      <c r="N361" s="6"/>
      <c r="O361" s="6"/>
      <c r="P361" s="6"/>
      <c r="Q361" s="6"/>
      <c r="R361" s="6"/>
      <c r="S361" s="6"/>
      <c r="T361" s="6"/>
      <c r="U361" s="6"/>
      <c r="V361" s="6"/>
      <c r="W361" s="6"/>
      <c r="X361" s="6"/>
      <c r="Y361" s="6"/>
      <c r="Z361" s="6"/>
    </row>
    <row r="362">
      <c r="A362" s="9"/>
      <c r="B362" s="9"/>
      <c r="C362" s="9"/>
      <c r="D362" s="6"/>
      <c r="E362" s="9"/>
      <c r="F362" s="6"/>
      <c r="G362" s="6"/>
      <c r="H362" s="6"/>
      <c r="I362" s="6"/>
      <c r="J362" s="6"/>
      <c r="K362" s="6"/>
      <c r="L362" s="6"/>
      <c r="M362" s="6"/>
      <c r="N362" s="6"/>
      <c r="O362" s="6"/>
      <c r="P362" s="6"/>
      <c r="Q362" s="6"/>
      <c r="R362" s="6"/>
      <c r="S362" s="6"/>
      <c r="T362" s="6"/>
      <c r="U362" s="6"/>
      <c r="V362" s="6"/>
      <c r="W362" s="6"/>
      <c r="X362" s="6"/>
      <c r="Y362" s="6"/>
      <c r="Z362" s="6"/>
    </row>
    <row r="363">
      <c r="A363" s="9"/>
      <c r="B363" s="9"/>
      <c r="C363" s="9"/>
      <c r="D363" s="6"/>
      <c r="E363" s="9"/>
      <c r="F363" s="6"/>
      <c r="G363" s="6"/>
      <c r="H363" s="6"/>
      <c r="I363" s="6"/>
      <c r="J363" s="6"/>
      <c r="K363" s="6"/>
      <c r="L363" s="6"/>
      <c r="M363" s="6"/>
      <c r="N363" s="6"/>
      <c r="O363" s="6"/>
      <c r="P363" s="6"/>
      <c r="Q363" s="6"/>
      <c r="R363" s="6"/>
      <c r="S363" s="6"/>
      <c r="T363" s="6"/>
      <c r="U363" s="6"/>
      <c r="V363" s="6"/>
      <c r="W363" s="6"/>
      <c r="X363" s="6"/>
      <c r="Y363" s="6"/>
      <c r="Z363" s="6"/>
    </row>
    <row r="364">
      <c r="A364" s="9"/>
      <c r="B364" s="9"/>
      <c r="C364" s="9"/>
      <c r="D364" s="6"/>
      <c r="E364" s="9"/>
      <c r="F364" s="6"/>
      <c r="G364" s="6"/>
      <c r="H364" s="6"/>
      <c r="I364" s="6"/>
      <c r="J364" s="6"/>
      <c r="K364" s="6"/>
      <c r="L364" s="6"/>
      <c r="M364" s="6"/>
      <c r="N364" s="6"/>
      <c r="O364" s="6"/>
      <c r="P364" s="6"/>
      <c r="Q364" s="6"/>
      <c r="R364" s="6"/>
      <c r="S364" s="6"/>
      <c r="T364" s="6"/>
      <c r="U364" s="6"/>
      <c r="V364" s="6"/>
      <c r="W364" s="6"/>
      <c r="X364" s="6"/>
      <c r="Y364" s="6"/>
      <c r="Z364" s="6"/>
    </row>
    <row r="365">
      <c r="A365" s="9"/>
      <c r="B365" s="9"/>
      <c r="C365" s="9"/>
      <c r="D365" s="6"/>
      <c r="E365" s="9"/>
      <c r="F365" s="6"/>
      <c r="G365" s="6"/>
      <c r="H365" s="6"/>
      <c r="I365" s="6"/>
      <c r="J365" s="6"/>
      <c r="K365" s="6"/>
      <c r="L365" s="6"/>
      <c r="M365" s="6"/>
      <c r="N365" s="6"/>
      <c r="O365" s="6"/>
      <c r="P365" s="6"/>
      <c r="Q365" s="6"/>
      <c r="R365" s="6"/>
      <c r="S365" s="6"/>
      <c r="T365" s="6"/>
      <c r="U365" s="6"/>
      <c r="V365" s="6"/>
      <c r="W365" s="6"/>
      <c r="X365" s="6"/>
      <c r="Y365" s="6"/>
      <c r="Z365" s="6"/>
    </row>
    <row r="366">
      <c r="A366" s="9"/>
      <c r="B366" s="9"/>
      <c r="C366" s="9"/>
      <c r="D366" s="6"/>
      <c r="E366" s="9"/>
      <c r="F366" s="6"/>
      <c r="G366" s="6"/>
      <c r="H366" s="6"/>
      <c r="I366" s="6"/>
      <c r="J366" s="6"/>
      <c r="K366" s="6"/>
      <c r="L366" s="6"/>
      <c r="M366" s="6"/>
      <c r="N366" s="6"/>
      <c r="O366" s="6"/>
      <c r="P366" s="6"/>
      <c r="Q366" s="6"/>
      <c r="R366" s="6"/>
      <c r="S366" s="6"/>
      <c r="T366" s="6"/>
      <c r="U366" s="6"/>
      <c r="V366" s="6"/>
      <c r="W366" s="6"/>
      <c r="X366" s="6"/>
      <c r="Y366" s="6"/>
      <c r="Z366" s="6"/>
    </row>
    <row r="367">
      <c r="A367" s="9"/>
      <c r="B367" s="9"/>
      <c r="C367" s="9"/>
      <c r="D367" s="6"/>
      <c r="E367" s="9"/>
      <c r="F367" s="6"/>
      <c r="G367" s="6"/>
      <c r="H367" s="6"/>
      <c r="I367" s="6"/>
      <c r="J367" s="6"/>
      <c r="K367" s="6"/>
      <c r="L367" s="6"/>
      <c r="M367" s="6"/>
      <c r="N367" s="6"/>
      <c r="O367" s="6"/>
      <c r="P367" s="6"/>
      <c r="Q367" s="6"/>
      <c r="R367" s="6"/>
      <c r="S367" s="6"/>
      <c r="T367" s="6"/>
      <c r="U367" s="6"/>
      <c r="V367" s="6"/>
      <c r="W367" s="6"/>
      <c r="X367" s="6"/>
      <c r="Y367" s="6"/>
      <c r="Z367" s="6"/>
    </row>
    <row r="368">
      <c r="A368" s="9"/>
      <c r="B368" s="9"/>
      <c r="C368" s="9"/>
      <c r="D368" s="6"/>
      <c r="E368" s="9"/>
      <c r="F368" s="6"/>
      <c r="G368" s="6"/>
      <c r="H368" s="6"/>
      <c r="I368" s="6"/>
      <c r="J368" s="6"/>
      <c r="K368" s="6"/>
      <c r="L368" s="6"/>
      <c r="M368" s="6"/>
      <c r="N368" s="6"/>
      <c r="O368" s="6"/>
      <c r="P368" s="6"/>
      <c r="Q368" s="6"/>
      <c r="R368" s="6"/>
      <c r="S368" s="6"/>
      <c r="T368" s="6"/>
      <c r="U368" s="6"/>
      <c r="V368" s="6"/>
      <c r="W368" s="6"/>
      <c r="X368" s="6"/>
      <c r="Y368" s="6"/>
      <c r="Z368" s="6"/>
    </row>
    <row r="369">
      <c r="A369" s="9"/>
      <c r="B369" s="9"/>
      <c r="C369" s="9"/>
      <c r="D369" s="6"/>
      <c r="E369" s="9"/>
      <c r="F369" s="6"/>
      <c r="G369" s="6"/>
      <c r="H369" s="6"/>
      <c r="I369" s="6"/>
      <c r="J369" s="6"/>
      <c r="K369" s="6"/>
      <c r="L369" s="6"/>
      <c r="M369" s="6"/>
      <c r="N369" s="6"/>
      <c r="O369" s="6"/>
      <c r="P369" s="6"/>
      <c r="Q369" s="6"/>
      <c r="R369" s="6"/>
      <c r="S369" s="6"/>
      <c r="T369" s="6"/>
      <c r="U369" s="6"/>
      <c r="V369" s="6"/>
      <c r="W369" s="6"/>
      <c r="X369" s="6"/>
      <c r="Y369" s="6"/>
      <c r="Z369" s="6"/>
    </row>
    <row r="370">
      <c r="A370" s="9"/>
      <c r="B370" s="9"/>
      <c r="C370" s="9"/>
      <c r="D370" s="6"/>
      <c r="E370" s="9"/>
      <c r="F370" s="6"/>
      <c r="G370" s="6"/>
      <c r="H370" s="6"/>
      <c r="I370" s="6"/>
      <c r="J370" s="6"/>
      <c r="K370" s="6"/>
      <c r="L370" s="6"/>
      <c r="M370" s="6"/>
      <c r="N370" s="6"/>
      <c r="O370" s="6"/>
      <c r="P370" s="6"/>
      <c r="Q370" s="6"/>
      <c r="R370" s="6"/>
      <c r="S370" s="6"/>
      <c r="T370" s="6"/>
      <c r="U370" s="6"/>
      <c r="V370" s="6"/>
      <c r="W370" s="6"/>
      <c r="X370" s="6"/>
      <c r="Y370" s="6"/>
      <c r="Z370" s="6"/>
    </row>
    <row r="371">
      <c r="A371" s="9"/>
      <c r="B371" s="9"/>
      <c r="C371" s="9"/>
      <c r="D371" s="6"/>
      <c r="E371" s="9"/>
      <c r="F371" s="6"/>
      <c r="G371" s="6"/>
      <c r="H371" s="6"/>
      <c r="I371" s="6"/>
      <c r="J371" s="6"/>
      <c r="K371" s="6"/>
      <c r="L371" s="6"/>
      <c r="M371" s="6"/>
      <c r="N371" s="6"/>
      <c r="O371" s="6"/>
      <c r="P371" s="6"/>
      <c r="Q371" s="6"/>
      <c r="R371" s="6"/>
      <c r="S371" s="6"/>
      <c r="T371" s="6"/>
      <c r="U371" s="6"/>
      <c r="V371" s="6"/>
      <c r="W371" s="6"/>
      <c r="X371" s="6"/>
      <c r="Y371" s="6"/>
      <c r="Z371" s="6"/>
    </row>
    <row r="372">
      <c r="A372" s="9"/>
      <c r="B372" s="9"/>
      <c r="C372" s="9"/>
      <c r="D372" s="6"/>
      <c r="E372" s="9"/>
      <c r="F372" s="6"/>
      <c r="G372" s="6"/>
      <c r="H372" s="6"/>
      <c r="I372" s="6"/>
      <c r="J372" s="6"/>
      <c r="K372" s="6"/>
      <c r="L372" s="6"/>
      <c r="M372" s="6"/>
      <c r="N372" s="6"/>
      <c r="O372" s="6"/>
      <c r="P372" s="6"/>
      <c r="Q372" s="6"/>
      <c r="R372" s="6"/>
      <c r="S372" s="6"/>
      <c r="T372" s="6"/>
      <c r="U372" s="6"/>
      <c r="V372" s="6"/>
      <c r="W372" s="6"/>
      <c r="X372" s="6"/>
      <c r="Y372" s="6"/>
      <c r="Z372" s="6"/>
    </row>
    <row r="373">
      <c r="A373" s="9"/>
      <c r="B373" s="9"/>
      <c r="C373" s="9"/>
      <c r="D373" s="6"/>
      <c r="E373" s="9"/>
      <c r="F373" s="6"/>
      <c r="G373" s="6"/>
      <c r="H373" s="6"/>
      <c r="I373" s="6"/>
      <c r="J373" s="6"/>
      <c r="K373" s="6"/>
      <c r="L373" s="6"/>
      <c r="M373" s="6"/>
      <c r="N373" s="6"/>
      <c r="O373" s="6"/>
      <c r="P373" s="6"/>
      <c r="Q373" s="6"/>
      <c r="R373" s="6"/>
      <c r="S373" s="6"/>
      <c r="T373" s="6"/>
      <c r="U373" s="6"/>
      <c r="V373" s="6"/>
      <c r="W373" s="6"/>
      <c r="X373" s="6"/>
      <c r="Y373" s="6"/>
      <c r="Z373" s="6"/>
    </row>
    <row r="374">
      <c r="A374" s="9"/>
      <c r="B374" s="9"/>
      <c r="C374" s="9"/>
      <c r="D374" s="6"/>
      <c r="E374" s="9"/>
      <c r="F374" s="6"/>
      <c r="G374" s="6"/>
      <c r="H374" s="6"/>
      <c r="I374" s="6"/>
      <c r="J374" s="6"/>
      <c r="K374" s="6"/>
      <c r="L374" s="6"/>
      <c r="M374" s="6"/>
      <c r="N374" s="6"/>
      <c r="O374" s="6"/>
      <c r="P374" s="6"/>
      <c r="Q374" s="6"/>
      <c r="R374" s="6"/>
      <c r="S374" s="6"/>
      <c r="T374" s="6"/>
      <c r="U374" s="6"/>
      <c r="V374" s="6"/>
      <c r="W374" s="6"/>
      <c r="X374" s="6"/>
      <c r="Y374" s="6"/>
      <c r="Z374" s="6"/>
    </row>
    <row r="375">
      <c r="A375" s="9"/>
      <c r="B375" s="9"/>
      <c r="C375" s="9"/>
      <c r="D375" s="6"/>
      <c r="E375" s="9"/>
      <c r="F375" s="6"/>
      <c r="G375" s="6"/>
      <c r="H375" s="6"/>
      <c r="I375" s="6"/>
      <c r="J375" s="6"/>
      <c r="K375" s="6"/>
      <c r="L375" s="6"/>
      <c r="M375" s="6"/>
      <c r="N375" s="6"/>
      <c r="O375" s="6"/>
      <c r="P375" s="6"/>
      <c r="Q375" s="6"/>
      <c r="R375" s="6"/>
      <c r="S375" s="6"/>
      <c r="T375" s="6"/>
      <c r="U375" s="6"/>
      <c r="V375" s="6"/>
      <c r="W375" s="6"/>
      <c r="X375" s="6"/>
      <c r="Y375" s="6"/>
      <c r="Z375" s="6"/>
    </row>
    <row r="376">
      <c r="A376" s="9"/>
      <c r="B376" s="9"/>
      <c r="C376" s="9"/>
      <c r="D376" s="6"/>
      <c r="E376" s="9"/>
      <c r="F376" s="6"/>
      <c r="G376" s="6"/>
      <c r="H376" s="6"/>
      <c r="I376" s="6"/>
      <c r="J376" s="6"/>
      <c r="K376" s="6"/>
      <c r="L376" s="6"/>
      <c r="M376" s="6"/>
      <c r="N376" s="6"/>
      <c r="O376" s="6"/>
      <c r="P376" s="6"/>
      <c r="Q376" s="6"/>
      <c r="R376" s="6"/>
      <c r="S376" s="6"/>
      <c r="T376" s="6"/>
      <c r="U376" s="6"/>
      <c r="V376" s="6"/>
      <c r="W376" s="6"/>
      <c r="X376" s="6"/>
      <c r="Y376" s="6"/>
      <c r="Z376" s="6"/>
    </row>
    <row r="377">
      <c r="A377" s="9"/>
      <c r="B377" s="9"/>
      <c r="C377" s="9"/>
      <c r="D377" s="6"/>
      <c r="E377" s="9"/>
      <c r="F377" s="6"/>
      <c r="G377" s="6"/>
      <c r="H377" s="6"/>
      <c r="I377" s="6"/>
      <c r="J377" s="6"/>
      <c r="K377" s="6"/>
      <c r="L377" s="6"/>
      <c r="M377" s="6"/>
      <c r="N377" s="6"/>
      <c r="O377" s="6"/>
      <c r="P377" s="6"/>
      <c r="Q377" s="6"/>
      <c r="R377" s="6"/>
      <c r="S377" s="6"/>
      <c r="T377" s="6"/>
      <c r="U377" s="6"/>
      <c r="V377" s="6"/>
      <c r="W377" s="6"/>
      <c r="X377" s="6"/>
      <c r="Y377" s="6"/>
      <c r="Z377" s="6"/>
    </row>
    <row r="378">
      <c r="A378" s="9"/>
      <c r="B378" s="9"/>
      <c r="C378" s="9"/>
      <c r="D378" s="6"/>
      <c r="E378" s="9"/>
      <c r="F378" s="6"/>
      <c r="G378" s="6"/>
      <c r="H378" s="6"/>
      <c r="I378" s="6"/>
      <c r="J378" s="6"/>
      <c r="K378" s="6"/>
      <c r="L378" s="6"/>
      <c r="M378" s="6"/>
      <c r="N378" s="6"/>
      <c r="O378" s="6"/>
      <c r="P378" s="6"/>
      <c r="Q378" s="6"/>
      <c r="R378" s="6"/>
      <c r="S378" s="6"/>
      <c r="T378" s="6"/>
      <c r="U378" s="6"/>
      <c r="V378" s="6"/>
      <c r="W378" s="6"/>
      <c r="X378" s="6"/>
      <c r="Y378" s="6"/>
      <c r="Z378" s="6"/>
    </row>
    <row r="379">
      <c r="A379" s="9"/>
      <c r="B379" s="9"/>
      <c r="C379" s="9"/>
      <c r="D379" s="6"/>
      <c r="E379" s="9"/>
      <c r="F379" s="6"/>
      <c r="G379" s="6"/>
      <c r="H379" s="6"/>
      <c r="I379" s="6"/>
      <c r="J379" s="6"/>
      <c r="K379" s="6"/>
      <c r="L379" s="6"/>
      <c r="M379" s="6"/>
      <c r="N379" s="6"/>
      <c r="O379" s="6"/>
      <c r="P379" s="6"/>
      <c r="Q379" s="6"/>
      <c r="R379" s="6"/>
      <c r="S379" s="6"/>
      <c r="T379" s="6"/>
      <c r="U379" s="6"/>
      <c r="V379" s="6"/>
      <c r="W379" s="6"/>
      <c r="X379" s="6"/>
      <c r="Y379" s="6"/>
      <c r="Z379" s="6"/>
    </row>
    <row r="380">
      <c r="A380" s="9"/>
      <c r="B380" s="9"/>
      <c r="C380" s="9"/>
      <c r="D380" s="6"/>
      <c r="E380" s="9"/>
      <c r="F380" s="6"/>
      <c r="G380" s="6"/>
      <c r="H380" s="6"/>
      <c r="I380" s="6"/>
      <c r="J380" s="6"/>
      <c r="K380" s="6"/>
      <c r="L380" s="6"/>
      <c r="M380" s="6"/>
      <c r="N380" s="6"/>
      <c r="O380" s="6"/>
      <c r="P380" s="6"/>
      <c r="Q380" s="6"/>
      <c r="R380" s="6"/>
      <c r="S380" s="6"/>
      <c r="T380" s="6"/>
      <c r="U380" s="6"/>
      <c r="V380" s="6"/>
      <c r="W380" s="6"/>
      <c r="X380" s="6"/>
      <c r="Y380" s="6"/>
      <c r="Z380" s="6"/>
    </row>
    <row r="381">
      <c r="A381" s="9"/>
      <c r="B381" s="9"/>
      <c r="C381" s="9"/>
      <c r="D381" s="6"/>
      <c r="E381" s="9"/>
      <c r="F381" s="6"/>
      <c r="G381" s="6"/>
      <c r="H381" s="6"/>
      <c r="I381" s="6"/>
      <c r="J381" s="6"/>
      <c r="K381" s="6"/>
      <c r="L381" s="6"/>
      <c r="M381" s="6"/>
      <c r="N381" s="6"/>
      <c r="O381" s="6"/>
      <c r="P381" s="6"/>
      <c r="Q381" s="6"/>
      <c r="R381" s="6"/>
      <c r="S381" s="6"/>
      <c r="T381" s="6"/>
      <c r="U381" s="6"/>
      <c r="V381" s="6"/>
      <c r="W381" s="6"/>
      <c r="X381" s="6"/>
      <c r="Y381" s="6"/>
      <c r="Z381" s="6"/>
    </row>
    <row r="382">
      <c r="A382" s="9"/>
      <c r="B382" s="9"/>
      <c r="C382" s="9"/>
      <c r="D382" s="6"/>
      <c r="E382" s="9"/>
      <c r="F382" s="6"/>
      <c r="G382" s="6"/>
      <c r="H382" s="6"/>
      <c r="I382" s="6"/>
      <c r="J382" s="6"/>
      <c r="K382" s="6"/>
      <c r="L382" s="6"/>
      <c r="M382" s="6"/>
      <c r="N382" s="6"/>
      <c r="O382" s="6"/>
      <c r="P382" s="6"/>
      <c r="Q382" s="6"/>
      <c r="R382" s="6"/>
      <c r="S382" s="6"/>
      <c r="T382" s="6"/>
      <c r="U382" s="6"/>
      <c r="V382" s="6"/>
      <c r="W382" s="6"/>
      <c r="X382" s="6"/>
      <c r="Y382" s="6"/>
      <c r="Z382" s="6"/>
    </row>
    <row r="383">
      <c r="A383" s="9"/>
      <c r="B383" s="9"/>
      <c r="C383" s="9"/>
      <c r="D383" s="6"/>
      <c r="E383" s="9"/>
      <c r="F383" s="6"/>
      <c r="G383" s="6"/>
      <c r="H383" s="6"/>
      <c r="I383" s="6"/>
      <c r="J383" s="6"/>
      <c r="K383" s="6"/>
      <c r="L383" s="6"/>
      <c r="M383" s="6"/>
      <c r="N383" s="6"/>
      <c r="O383" s="6"/>
      <c r="P383" s="6"/>
      <c r="Q383" s="6"/>
      <c r="R383" s="6"/>
      <c r="S383" s="6"/>
      <c r="T383" s="6"/>
      <c r="U383" s="6"/>
      <c r="V383" s="6"/>
      <c r="W383" s="6"/>
      <c r="X383" s="6"/>
      <c r="Y383" s="6"/>
      <c r="Z383" s="6"/>
    </row>
    <row r="384">
      <c r="A384" s="9"/>
      <c r="B384" s="9"/>
      <c r="C384" s="9"/>
      <c r="D384" s="6"/>
      <c r="E384" s="9"/>
      <c r="F384" s="6"/>
      <c r="G384" s="6"/>
      <c r="H384" s="6"/>
      <c r="I384" s="6"/>
      <c r="J384" s="6"/>
      <c r="K384" s="6"/>
      <c r="L384" s="6"/>
      <c r="M384" s="6"/>
      <c r="N384" s="6"/>
      <c r="O384" s="6"/>
      <c r="P384" s="6"/>
      <c r="Q384" s="6"/>
      <c r="R384" s="6"/>
      <c r="S384" s="6"/>
      <c r="T384" s="6"/>
      <c r="U384" s="6"/>
      <c r="V384" s="6"/>
      <c r="W384" s="6"/>
      <c r="X384" s="6"/>
      <c r="Y384" s="6"/>
      <c r="Z384" s="6"/>
    </row>
    <row r="385">
      <c r="A385" s="9"/>
      <c r="B385" s="9"/>
      <c r="C385" s="9"/>
      <c r="D385" s="6"/>
      <c r="E385" s="9"/>
      <c r="F385" s="6"/>
      <c r="G385" s="6"/>
      <c r="H385" s="6"/>
      <c r="I385" s="6"/>
      <c r="J385" s="6"/>
      <c r="K385" s="6"/>
      <c r="L385" s="6"/>
      <c r="M385" s="6"/>
      <c r="N385" s="6"/>
      <c r="O385" s="6"/>
      <c r="P385" s="6"/>
      <c r="Q385" s="6"/>
      <c r="R385" s="6"/>
      <c r="S385" s="6"/>
      <c r="T385" s="6"/>
      <c r="U385" s="6"/>
      <c r="V385" s="6"/>
      <c r="W385" s="6"/>
      <c r="X385" s="6"/>
      <c r="Y385" s="6"/>
      <c r="Z385" s="6"/>
    </row>
    <row r="386">
      <c r="A386" s="9"/>
      <c r="B386" s="9"/>
      <c r="C386" s="9"/>
      <c r="D386" s="6"/>
      <c r="E386" s="9"/>
      <c r="F386" s="6"/>
      <c r="G386" s="6"/>
      <c r="H386" s="6"/>
      <c r="I386" s="6"/>
      <c r="J386" s="6"/>
      <c r="K386" s="6"/>
      <c r="L386" s="6"/>
      <c r="M386" s="6"/>
      <c r="N386" s="6"/>
      <c r="O386" s="6"/>
      <c r="P386" s="6"/>
      <c r="Q386" s="6"/>
      <c r="R386" s="6"/>
      <c r="S386" s="6"/>
      <c r="T386" s="6"/>
      <c r="U386" s="6"/>
      <c r="V386" s="6"/>
      <c r="W386" s="6"/>
      <c r="X386" s="6"/>
      <c r="Y386" s="6"/>
      <c r="Z386" s="6"/>
    </row>
    <row r="387">
      <c r="A387" s="9"/>
      <c r="B387" s="9"/>
      <c r="C387" s="9"/>
      <c r="D387" s="6"/>
      <c r="E387" s="9"/>
      <c r="F387" s="6"/>
      <c r="G387" s="6"/>
      <c r="H387" s="6"/>
      <c r="I387" s="6"/>
      <c r="J387" s="6"/>
      <c r="K387" s="6"/>
      <c r="L387" s="6"/>
      <c r="M387" s="6"/>
      <c r="N387" s="6"/>
      <c r="O387" s="6"/>
      <c r="P387" s="6"/>
      <c r="Q387" s="6"/>
      <c r="R387" s="6"/>
      <c r="S387" s="6"/>
      <c r="T387" s="6"/>
      <c r="U387" s="6"/>
      <c r="V387" s="6"/>
      <c r="W387" s="6"/>
      <c r="X387" s="6"/>
      <c r="Y387" s="6"/>
      <c r="Z387" s="6"/>
    </row>
    <row r="388">
      <c r="A388" s="9"/>
      <c r="B388" s="9"/>
      <c r="C388" s="9"/>
      <c r="D388" s="6"/>
      <c r="E388" s="9"/>
      <c r="F388" s="6"/>
      <c r="G388" s="6"/>
      <c r="H388" s="6"/>
      <c r="I388" s="6"/>
      <c r="J388" s="6"/>
      <c r="K388" s="6"/>
      <c r="L388" s="6"/>
      <c r="M388" s="6"/>
      <c r="N388" s="6"/>
      <c r="O388" s="6"/>
      <c r="P388" s="6"/>
      <c r="Q388" s="6"/>
      <c r="R388" s="6"/>
      <c r="S388" s="6"/>
      <c r="T388" s="6"/>
      <c r="U388" s="6"/>
      <c r="V388" s="6"/>
      <c r="W388" s="6"/>
      <c r="X388" s="6"/>
      <c r="Y388" s="6"/>
      <c r="Z388" s="6"/>
    </row>
    <row r="389">
      <c r="A389" s="9"/>
      <c r="B389" s="9"/>
      <c r="C389" s="9"/>
      <c r="D389" s="6"/>
      <c r="E389" s="9"/>
      <c r="F389" s="6"/>
      <c r="G389" s="6"/>
      <c r="H389" s="6"/>
      <c r="I389" s="6"/>
      <c r="J389" s="6"/>
      <c r="K389" s="6"/>
      <c r="L389" s="6"/>
      <c r="M389" s="6"/>
      <c r="N389" s="6"/>
      <c r="O389" s="6"/>
      <c r="P389" s="6"/>
      <c r="Q389" s="6"/>
      <c r="R389" s="6"/>
      <c r="S389" s="6"/>
      <c r="T389" s="6"/>
      <c r="U389" s="6"/>
      <c r="V389" s="6"/>
      <c r="W389" s="6"/>
      <c r="X389" s="6"/>
      <c r="Y389" s="6"/>
      <c r="Z389" s="6"/>
    </row>
    <row r="390">
      <c r="A390" s="9"/>
      <c r="B390" s="9"/>
      <c r="C390" s="9"/>
      <c r="D390" s="6"/>
      <c r="E390" s="9"/>
      <c r="F390" s="6"/>
      <c r="G390" s="6"/>
      <c r="H390" s="6"/>
      <c r="I390" s="6"/>
      <c r="J390" s="6"/>
      <c r="K390" s="6"/>
      <c r="L390" s="6"/>
      <c r="M390" s="6"/>
      <c r="N390" s="6"/>
      <c r="O390" s="6"/>
      <c r="P390" s="6"/>
      <c r="Q390" s="6"/>
      <c r="R390" s="6"/>
      <c r="S390" s="6"/>
      <c r="T390" s="6"/>
      <c r="U390" s="6"/>
      <c r="V390" s="6"/>
      <c r="W390" s="6"/>
      <c r="X390" s="6"/>
      <c r="Y390" s="6"/>
      <c r="Z390" s="6"/>
    </row>
    <row r="391">
      <c r="A391" s="9"/>
      <c r="B391" s="9"/>
      <c r="C391" s="9"/>
      <c r="D391" s="6"/>
      <c r="E391" s="9"/>
      <c r="F391" s="6"/>
      <c r="G391" s="6"/>
      <c r="H391" s="6"/>
      <c r="I391" s="6"/>
      <c r="J391" s="6"/>
      <c r="K391" s="6"/>
      <c r="L391" s="6"/>
      <c r="M391" s="6"/>
      <c r="N391" s="6"/>
      <c r="O391" s="6"/>
      <c r="P391" s="6"/>
      <c r="Q391" s="6"/>
      <c r="R391" s="6"/>
      <c r="S391" s="6"/>
      <c r="T391" s="6"/>
      <c r="U391" s="6"/>
      <c r="V391" s="6"/>
      <c r="W391" s="6"/>
      <c r="X391" s="6"/>
      <c r="Y391" s="6"/>
      <c r="Z391" s="6"/>
    </row>
    <row r="392">
      <c r="A392" s="9"/>
      <c r="B392" s="9"/>
      <c r="C392" s="9"/>
      <c r="D392" s="6"/>
      <c r="E392" s="9"/>
      <c r="F392" s="6"/>
      <c r="G392" s="6"/>
      <c r="H392" s="6"/>
      <c r="I392" s="6"/>
      <c r="J392" s="6"/>
      <c r="K392" s="6"/>
      <c r="L392" s="6"/>
      <c r="M392" s="6"/>
      <c r="N392" s="6"/>
      <c r="O392" s="6"/>
      <c r="P392" s="6"/>
      <c r="Q392" s="6"/>
      <c r="R392" s="6"/>
      <c r="S392" s="6"/>
      <c r="T392" s="6"/>
      <c r="U392" s="6"/>
      <c r="V392" s="6"/>
      <c r="W392" s="6"/>
      <c r="X392" s="6"/>
      <c r="Y392" s="6"/>
      <c r="Z392" s="6"/>
    </row>
    <row r="393">
      <c r="A393" s="9"/>
      <c r="B393" s="9"/>
      <c r="C393" s="9"/>
      <c r="D393" s="6"/>
      <c r="E393" s="9"/>
      <c r="F393" s="6"/>
      <c r="G393" s="6"/>
      <c r="H393" s="6"/>
      <c r="I393" s="6"/>
      <c r="J393" s="6"/>
      <c r="K393" s="6"/>
      <c r="L393" s="6"/>
      <c r="M393" s="6"/>
      <c r="N393" s="6"/>
      <c r="O393" s="6"/>
      <c r="P393" s="6"/>
      <c r="Q393" s="6"/>
      <c r="R393" s="6"/>
      <c r="S393" s="6"/>
      <c r="T393" s="6"/>
      <c r="U393" s="6"/>
      <c r="V393" s="6"/>
      <c r="W393" s="6"/>
      <c r="X393" s="6"/>
      <c r="Y393" s="6"/>
      <c r="Z393" s="6"/>
    </row>
    <row r="394">
      <c r="A394" s="9"/>
      <c r="B394" s="9"/>
      <c r="C394" s="9"/>
      <c r="D394" s="6"/>
      <c r="E394" s="9"/>
      <c r="F394" s="6"/>
      <c r="G394" s="6"/>
      <c r="H394" s="6"/>
      <c r="I394" s="6"/>
      <c r="J394" s="6"/>
      <c r="K394" s="6"/>
      <c r="L394" s="6"/>
      <c r="M394" s="6"/>
      <c r="N394" s="6"/>
      <c r="O394" s="6"/>
      <c r="P394" s="6"/>
      <c r="Q394" s="6"/>
      <c r="R394" s="6"/>
      <c r="S394" s="6"/>
      <c r="T394" s="6"/>
      <c r="U394" s="6"/>
      <c r="V394" s="6"/>
      <c r="W394" s="6"/>
      <c r="X394" s="6"/>
      <c r="Y394" s="6"/>
      <c r="Z394" s="6"/>
    </row>
    <row r="395">
      <c r="A395" s="9"/>
      <c r="B395" s="9"/>
      <c r="C395" s="9"/>
      <c r="D395" s="6"/>
      <c r="E395" s="9"/>
      <c r="F395" s="6"/>
      <c r="G395" s="6"/>
      <c r="H395" s="6"/>
      <c r="I395" s="6"/>
      <c r="J395" s="6"/>
      <c r="K395" s="6"/>
      <c r="L395" s="6"/>
      <c r="M395" s="6"/>
      <c r="N395" s="6"/>
      <c r="O395" s="6"/>
      <c r="P395" s="6"/>
      <c r="Q395" s="6"/>
      <c r="R395" s="6"/>
      <c r="S395" s="6"/>
      <c r="T395" s="6"/>
      <c r="U395" s="6"/>
      <c r="V395" s="6"/>
      <c r="W395" s="6"/>
      <c r="X395" s="6"/>
      <c r="Y395" s="6"/>
      <c r="Z395" s="6"/>
    </row>
    <row r="396">
      <c r="A396" s="9"/>
      <c r="B396" s="9"/>
      <c r="C396" s="9"/>
      <c r="D396" s="6"/>
      <c r="E396" s="9"/>
      <c r="F396" s="6"/>
      <c r="G396" s="6"/>
      <c r="H396" s="6"/>
      <c r="I396" s="6"/>
      <c r="J396" s="6"/>
      <c r="K396" s="6"/>
      <c r="L396" s="6"/>
      <c r="M396" s="6"/>
      <c r="N396" s="6"/>
      <c r="O396" s="6"/>
      <c r="P396" s="6"/>
      <c r="Q396" s="6"/>
      <c r="R396" s="6"/>
      <c r="S396" s="6"/>
      <c r="T396" s="6"/>
      <c r="U396" s="6"/>
      <c r="V396" s="6"/>
      <c r="W396" s="6"/>
      <c r="X396" s="6"/>
      <c r="Y396" s="6"/>
      <c r="Z396" s="6"/>
    </row>
    <row r="397">
      <c r="A397" s="9"/>
      <c r="B397" s="9"/>
      <c r="C397" s="9"/>
      <c r="D397" s="6"/>
      <c r="E397" s="9"/>
      <c r="F397" s="6"/>
      <c r="G397" s="6"/>
      <c r="H397" s="6"/>
      <c r="I397" s="6"/>
      <c r="J397" s="6"/>
      <c r="K397" s="6"/>
      <c r="L397" s="6"/>
      <c r="M397" s="6"/>
      <c r="N397" s="6"/>
      <c r="O397" s="6"/>
      <c r="P397" s="6"/>
      <c r="Q397" s="6"/>
      <c r="R397" s="6"/>
      <c r="S397" s="6"/>
      <c r="T397" s="6"/>
      <c r="U397" s="6"/>
      <c r="V397" s="6"/>
      <c r="W397" s="6"/>
      <c r="X397" s="6"/>
      <c r="Y397" s="6"/>
      <c r="Z397" s="6"/>
    </row>
    <row r="398">
      <c r="A398" s="9"/>
      <c r="B398" s="9"/>
      <c r="C398" s="9"/>
      <c r="D398" s="6"/>
      <c r="E398" s="9"/>
      <c r="F398" s="6"/>
      <c r="G398" s="6"/>
      <c r="H398" s="6"/>
      <c r="I398" s="6"/>
      <c r="J398" s="6"/>
      <c r="K398" s="6"/>
      <c r="L398" s="6"/>
      <c r="M398" s="6"/>
      <c r="N398" s="6"/>
      <c r="O398" s="6"/>
      <c r="P398" s="6"/>
      <c r="Q398" s="6"/>
      <c r="R398" s="6"/>
      <c r="S398" s="6"/>
      <c r="T398" s="6"/>
      <c r="U398" s="6"/>
      <c r="V398" s="6"/>
      <c r="W398" s="6"/>
      <c r="X398" s="6"/>
      <c r="Y398" s="6"/>
      <c r="Z398" s="6"/>
    </row>
    <row r="399">
      <c r="A399" s="9"/>
      <c r="B399" s="9"/>
      <c r="C399" s="9"/>
      <c r="D399" s="6"/>
      <c r="E399" s="9"/>
      <c r="F399" s="6"/>
      <c r="G399" s="6"/>
      <c r="H399" s="6"/>
      <c r="I399" s="6"/>
      <c r="J399" s="6"/>
      <c r="K399" s="6"/>
      <c r="L399" s="6"/>
      <c r="M399" s="6"/>
      <c r="N399" s="6"/>
      <c r="O399" s="6"/>
      <c r="P399" s="6"/>
      <c r="Q399" s="6"/>
      <c r="R399" s="6"/>
      <c r="S399" s="6"/>
      <c r="T399" s="6"/>
      <c r="U399" s="6"/>
      <c r="V399" s="6"/>
      <c r="W399" s="6"/>
      <c r="X399" s="6"/>
      <c r="Y399" s="6"/>
      <c r="Z399" s="6"/>
    </row>
    <row r="400">
      <c r="A400" s="9"/>
      <c r="B400" s="9"/>
      <c r="C400" s="9"/>
      <c r="D400" s="6"/>
      <c r="E400" s="9"/>
      <c r="F400" s="6"/>
      <c r="G400" s="6"/>
      <c r="H400" s="6"/>
      <c r="I400" s="6"/>
      <c r="J400" s="6"/>
      <c r="K400" s="6"/>
      <c r="L400" s="6"/>
      <c r="M400" s="6"/>
      <c r="N400" s="6"/>
      <c r="O400" s="6"/>
      <c r="P400" s="6"/>
      <c r="Q400" s="6"/>
      <c r="R400" s="6"/>
      <c r="S400" s="6"/>
      <c r="T400" s="6"/>
      <c r="U400" s="6"/>
      <c r="V400" s="6"/>
      <c r="W400" s="6"/>
      <c r="X400" s="6"/>
      <c r="Y400" s="6"/>
      <c r="Z400" s="6"/>
    </row>
    <row r="401">
      <c r="A401" s="9"/>
      <c r="B401" s="9"/>
      <c r="C401" s="9"/>
      <c r="D401" s="6"/>
      <c r="E401" s="9"/>
      <c r="F401" s="6"/>
      <c r="G401" s="6"/>
      <c r="H401" s="6"/>
      <c r="I401" s="6"/>
      <c r="J401" s="6"/>
      <c r="K401" s="6"/>
      <c r="L401" s="6"/>
      <c r="M401" s="6"/>
      <c r="N401" s="6"/>
      <c r="O401" s="6"/>
      <c r="P401" s="6"/>
      <c r="Q401" s="6"/>
      <c r="R401" s="6"/>
      <c r="S401" s="6"/>
      <c r="T401" s="6"/>
      <c r="U401" s="6"/>
      <c r="V401" s="6"/>
      <c r="W401" s="6"/>
      <c r="X401" s="6"/>
      <c r="Y401" s="6"/>
      <c r="Z401" s="6"/>
    </row>
    <row r="402">
      <c r="A402" s="9"/>
      <c r="B402" s="9"/>
      <c r="C402" s="9"/>
      <c r="D402" s="6"/>
      <c r="E402" s="9"/>
      <c r="F402" s="6"/>
      <c r="G402" s="6"/>
      <c r="H402" s="6"/>
      <c r="I402" s="6"/>
      <c r="J402" s="6"/>
      <c r="K402" s="6"/>
      <c r="L402" s="6"/>
      <c r="M402" s="6"/>
      <c r="N402" s="6"/>
      <c r="O402" s="6"/>
      <c r="P402" s="6"/>
      <c r="Q402" s="6"/>
      <c r="R402" s="6"/>
      <c r="S402" s="6"/>
      <c r="T402" s="6"/>
      <c r="U402" s="6"/>
      <c r="V402" s="6"/>
      <c r="W402" s="6"/>
      <c r="X402" s="6"/>
      <c r="Y402" s="6"/>
      <c r="Z402" s="6"/>
    </row>
    <row r="403">
      <c r="A403" s="9"/>
      <c r="B403" s="9"/>
      <c r="C403" s="9"/>
      <c r="D403" s="6"/>
      <c r="E403" s="9"/>
      <c r="F403" s="6"/>
      <c r="G403" s="6"/>
      <c r="H403" s="6"/>
      <c r="I403" s="6"/>
      <c r="J403" s="6"/>
      <c r="K403" s="6"/>
      <c r="L403" s="6"/>
      <c r="M403" s="6"/>
      <c r="N403" s="6"/>
      <c r="O403" s="6"/>
      <c r="P403" s="6"/>
      <c r="Q403" s="6"/>
      <c r="R403" s="6"/>
      <c r="S403" s="6"/>
      <c r="T403" s="6"/>
      <c r="U403" s="6"/>
      <c r="V403" s="6"/>
      <c r="W403" s="6"/>
      <c r="X403" s="6"/>
      <c r="Y403" s="6"/>
      <c r="Z403" s="6"/>
    </row>
    <row r="404">
      <c r="A404" s="9"/>
      <c r="B404" s="9"/>
      <c r="C404" s="9"/>
      <c r="D404" s="6"/>
      <c r="E404" s="9"/>
      <c r="F404" s="6"/>
      <c r="G404" s="6"/>
      <c r="H404" s="6"/>
      <c r="I404" s="6"/>
      <c r="J404" s="6"/>
      <c r="K404" s="6"/>
      <c r="L404" s="6"/>
      <c r="M404" s="6"/>
      <c r="N404" s="6"/>
      <c r="O404" s="6"/>
      <c r="P404" s="6"/>
      <c r="Q404" s="6"/>
      <c r="R404" s="6"/>
      <c r="S404" s="6"/>
      <c r="T404" s="6"/>
      <c r="U404" s="6"/>
      <c r="V404" s="6"/>
      <c r="W404" s="6"/>
      <c r="X404" s="6"/>
      <c r="Y404" s="6"/>
      <c r="Z404" s="6"/>
    </row>
    <row r="405">
      <c r="A405" s="9"/>
      <c r="B405" s="9"/>
      <c r="C405" s="9"/>
      <c r="D405" s="6"/>
      <c r="E405" s="9"/>
      <c r="F405" s="6"/>
      <c r="G405" s="6"/>
      <c r="H405" s="6"/>
      <c r="I405" s="6"/>
      <c r="J405" s="6"/>
      <c r="K405" s="6"/>
      <c r="L405" s="6"/>
      <c r="M405" s="6"/>
      <c r="N405" s="6"/>
      <c r="O405" s="6"/>
      <c r="P405" s="6"/>
      <c r="Q405" s="6"/>
      <c r="R405" s="6"/>
      <c r="S405" s="6"/>
      <c r="T405" s="6"/>
      <c r="U405" s="6"/>
      <c r="V405" s="6"/>
      <c r="W405" s="6"/>
      <c r="X405" s="6"/>
      <c r="Y405" s="6"/>
      <c r="Z405" s="6"/>
    </row>
    <row r="406">
      <c r="A406" s="9"/>
      <c r="B406" s="9"/>
      <c r="C406" s="9"/>
      <c r="D406" s="6"/>
      <c r="E406" s="9"/>
      <c r="F406" s="6"/>
      <c r="G406" s="6"/>
      <c r="H406" s="6"/>
      <c r="I406" s="6"/>
      <c r="J406" s="6"/>
      <c r="K406" s="6"/>
      <c r="L406" s="6"/>
      <c r="M406" s="6"/>
      <c r="N406" s="6"/>
      <c r="O406" s="6"/>
      <c r="P406" s="6"/>
      <c r="Q406" s="6"/>
      <c r="R406" s="6"/>
      <c r="S406" s="6"/>
      <c r="T406" s="6"/>
      <c r="U406" s="6"/>
      <c r="V406" s="6"/>
      <c r="W406" s="6"/>
      <c r="X406" s="6"/>
      <c r="Y406" s="6"/>
      <c r="Z406" s="6"/>
    </row>
    <row r="407">
      <c r="A407" s="9"/>
      <c r="B407" s="9"/>
      <c r="C407" s="9"/>
      <c r="D407" s="6"/>
      <c r="E407" s="9"/>
      <c r="F407" s="6"/>
      <c r="G407" s="6"/>
      <c r="H407" s="6"/>
      <c r="I407" s="6"/>
      <c r="J407" s="6"/>
      <c r="K407" s="6"/>
      <c r="L407" s="6"/>
      <c r="M407" s="6"/>
      <c r="N407" s="6"/>
      <c r="O407" s="6"/>
      <c r="P407" s="6"/>
      <c r="Q407" s="6"/>
      <c r="R407" s="6"/>
      <c r="S407" s="6"/>
      <c r="T407" s="6"/>
      <c r="U407" s="6"/>
      <c r="V407" s="6"/>
      <c r="W407" s="6"/>
      <c r="X407" s="6"/>
      <c r="Y407" s="6"/>
      <c r="Z407" s="6"/>
    </row>
    <row r="408">
      <c r="A408" s="9"/>
      <c r="B408" s="9"/>
      <c r="C408" s="9"/>
      <c r="D408" s="6"/>
      <c r="E408" s="9"/>
      <c r="F408" s="6"/>
      <c r="G408" s="6"/>
      <c r="H408" s="6"/>
      <c r="I408" s="6"/>
      <c r="J408" s="6"/>
      <c r="K408" s="6"/>
      <c r="L408" s="6"/>
      <c r="M408" s="6"/>
      <c r="N408" s="6"/>
      <c r="O408" s="6"/>
      <c r="P408" s="6"/>
      <c r="Q408" s="6"/>
      <c r="R408" s="6"/>
      <c r="S408" s="6"/>
      <c r="T408" s="6"/>
      <c r="U408" s="6"/>
      <c r="V408" s="6"/>
      <c r="W408" s="6"/>
      <c r="X408" s="6"/>
      <c r="Y408" s="6"/>
      <c r="Z408" s="6"/>
    </row>
    <row r="409">
      <c r="A409" s="9"/>
      <c r="B409" s="9"/>
      <c r="C409" s="9"/>
      <c r="D409" s="6"/>
      <c r="E409" s="9"/>
      <c r="F409" s="6"/>
      <c r="G409" s="6"/>
      <c r="H409" s="6"/>
      <c r="I409" s="6"/>
      <c r="J409" s="6"/>
      <c r="K409" s="6"/>
      <c r="L409" s="6"/>
      <c r="M409" s="6"/>
      <c r="N409" s="6"/>
      <c r="O409" s="6"/>
      <c r="P409" s="6"/>
      <c r="Q409" s="6"/>
      <c r="R409" s="6"/>
      <c r="S409" s="6"/>
      <c r="T409" s="6"/>
      <c r="U409" s="6"/>
      <c r="V409" s="6"/>
      <c r="W409" s="6"/>
      <c r="X409" s="6"/>
      <c r="Y409" s="6"/>
      <c r="Z409" s="6"/>
    </row>
    <row r="410">
      <c r="A410" s="9"/>
      <c r="B410" s="9"/>
      <c r="C410" s="9"/>
      <c r="D410" s="6"/>
      <c r="E410" s="9"/>
      <c r="F410" s="6"/>
      <c r="G410" s="6"/>
      <c r="H410" s="6"/>
      <c r="I410" s="6"/>
      <c r="J410" s="6"/>
      <c r="K410" s="6"/>
      <c r="L410" s="6"/>
      <c r="M410" s="6"/>
      <c r="N410" s="6"/>
      <c r="O410" s="6"/>
      <c r="P410" s="6"/>
      <c r="Q410" s="6"/>
      <c r="R410" s="6"/>
      <c r="S410" s="6"/>
      <c r="T410" s="6"/>
      <c r="U410" s="6"/>
      <c r="V410" s="6"/>
      <c r="W410" s="6"/>
      <c r="X410" s="6"/>
      <c r="Y410" s="6"/>
      <c r="Z410" s="6"/>
    </row>
    <row r="411">
      <c r="A411" s="9"/>
      <c r="B411" s="9"/>
      <c r="C411" s="9"/>
      <c r="D411" s="6"/>
      <c r="E411" s="9"/>
      <c r="F411" s="6"/>
      <c r="G411" s="6"/>
      <c r="H411" s="6"/>
      <c r="I411" s="6"/>
      <c r="J411" s="6"/>
      <c r="K411" s="6"/>
      <c r="L411" s="6"/>
      <c r="M411" s="6"/>
      <c r="N411" s="6"/>
      <c r="O411" s="6"/>
      <c r="P411" s="6"/>
      <c r="Q411" s="6"/>
      <c r="R411" s="6"/>
      <c r="S411" s="6"/>
      <c r="T411" s="6"/>
      <c r="U411" s="6"/>
      <c r="V411" s="6"/>
      <c r="W411" s="6"/>
      <c r="X411" s="6"/>
      <c r="Y411" s="6"/>
      <c r="Z411" s="6"/>
    </row>
    <row r="412">
      <c r="A412" s="9"/>
      <c r="B412" s="9"/>
      <c r="C412" s="9"/>
      <c r="D412" s="6"/>
      <c r="E412" s="9"/>
      <c r="F412" s="6"/>
      <c r="G412" s="6"/>
      <c r="H412" s="6"/>
      <c r="I412" s="6"/>
      <c r="J412" s="6"/>
      <c r="K412" s="6"/>
      <c r="L412" s="6"/>
      <c r="M412" s="6"/>
      <c r="N412" s="6"/>
      <c r="O412" s="6"/>
      <c r="P412" s="6"/>
      <c r="Q412" s="6"/>
      <c r="R412" s="6"/>
      <c r="S412" s="6"/>
      <c r="T412" s="6"/>
      <c r="U412" s="6"/>
      <c r="V412" s="6"/>
      <c r="W412" s="6"/>
      <c r="X412" s="6"/>
      <c r="Y412" s="6"/>
      <c r="Z412" s="6"/>
    </row>
    <row r="413">
      <c r="A413" s="9"/>
      <c r="B413" s="9"/>
      <c r="C413" s="9"/>
      <c r="D413" s="6"/>
      <c r="E413" s="9"/>
      <c r="F413" s="6"/>
      <c r="G413" s="6"/>
      <c r="H413" s="6"/>
      <c r="I413" s="6"/>
      <c r="J413" s="6"/>
      <c r="K413" s="6"/>
      <c r="L413" s="6"/>
      <c r="M413" s="6"/>
      <c r="N413" s="6"/>
      <c r="O413" s="6"/>
      <c r="P413" s="6"/>
      <c r="Q413" s="6"/>
      <c r="R413" s="6"/>
      <c r="S413" s="6"/>
      <c r="T413" s="6"/>
      <c r="U413" s="6"/>
      <c r="V413" s="6"/>
      <c r="W413" s="6"/>
      <c r="X413" s="6"/>
      <c r="Y413" s="6"/>
      <c r="Z413" s="6"/>
    </row>
    <row r="414">
      <c r="A414" s="9"/>
      <c r="B414" s="9"/>
      <c r="C414" s="9"/>
      <c r="D414" s="6"/>
      <c r="E414" s="9"/>
      <c r="F414" s="6"/>
      <c r="G414" s="6"/>
      <c r="H414" s="6"/>
      <c r="I414" s="6"/>
      <c r="J414" s="6"/>
      <c r="K414" s="6"/>
      <c r="L414" s="6"/>
      <c r="M414" s="6"/>
      <c r="N414" s="6"/>
      <c r="O414" s="6"/>
      <c r="P414" s="6"/>
      <c r="Q414" s="6"/>
      <c r="R414" s="6"/>
      <c r="S414" s="6"/>
      <c r="T414" s="6"/>
      <c r="U414" s="6"/>
      <c r="V414" s="6"/>
      <c r="W414" s="6"/>
      <c r="X414" s="6"/>
      <c r="Y414" s="6"/>
      <c r="Z414" s="6"/>
    </row>
    <row r="415">
      <c r="A415" s="9"/>
      <c r="B415" s="9"/>
      <c r="C415" s="9"/>
      <c r="D415" s="6"/>
      <c r="E415" s="9"/>
      <c r="F415" s="6"/>
      <c r="G415" s="6"/>
      <c r="H415" s="6"/>
      <c r="I415" s="6"/>
      <c r="J415" s="6"/>
      <c r="K415" s="6"/>
      <c r="L415" s="6"/>
      <c r="M415" s="6"/>
      <c r="N415" s="6"/>
      <c r="O415" s="6"/>
      <c r="P415" s="6"/>
      <c r="Q415" s="6"/>
      <c r="R415" s="6"/>
      <c r="S415" s="6"/>
      <c r="T415" s="6"/>
      <c r="U415" s="6"/>
      <c r="V415" s="6"/>
      <c r="W415" s="6"/>
      <c r="X415" s="6"/>
      <c r="Y415" s="6"/>
      <c r="Z415" s="6"/>
    </row>
    <row r="416">
      <c r="A416" s="9"/>
      <c r="B416" s="9"/>
      <c r="C416" s="9"/>
      <c r="D416" s="6"/>
      <c r="E416" s="9"/>
      <c r="F416" s="6"/>
      <c r="G416" s="6"/>
      <c r="H416" s="6"/>
      <c r="I416" s="6"/>
      <c r="J416" s="6"/>
      <c r="K416" s="6"/>
      <c r="L416" s="6"/>
      <c r="M416" s="6"/>
      <c r="N416" s="6"/>
      <c r="O416" s="6"/>
      <c r="P416" s="6"/>
      <c r="Q416" s="6"/>
      <c r="R416" s="6"/>
      <c r="S416" s="6"/>
      <c r="T416" s="6"/>
      <c r="U416" s="6"/>
      <c r="V416" s="6"/>
      <c r="W416" s="6"/>
      <c r="X416" s="6"/>
      <c r="Y416" s="6"/>
      <c r="Z416" s="6"/>
    </row>
    <row r="417">
      <c r="A417" s="9"/>
      <c r="B417" s="9"/>
      <c r="C417" s="9"/>
      <c r="D417" s="6"/>
      <c r="E417" s="9"/>
      <c r="F417" s="6"/>
      <c r="G417" s="6"/>
      <c r="H417" s="6"/>
      <c r="I417" s="6"/>
      <c r="J417" s="6"/>
      <c r="K417" s="6"/>
      <c r="L417" s="6"/>
      <c r="M417" s="6"/>
      <c r="N417" s="6"/>
      <c r="O417" s="6"/>
      <c r="P417" s="6"/>
      <c r="Q417" s="6"/>
      <c r="R417" s="6"/>
      <c r="S417" s="6"/>
      <c r="T417" s="6"/>
      <c r="U417" s="6"/>
      <c r="V417" s="6"/>
      <c r="W417" s="6"/>
      <c r="X417" s="6"/>
      <c r="Y417" s="6"/>
      <c r="Z417" s="6"/>
    </row>
    <row r="418">
      <c r="A418" s="9"/>
      <c r="B418" s="9"/>
      <c r="C418" s="9"/>
      <c r="D418" s="6"/>
      <c r="E418" s="9"/>
      <c r="F418" s="6"/>
      <c r="G418" s="6"/>
      <c r="H418" s="6"/>
      <c r="I418" s="6"/>
      <c r="J418" s="6"/>
      <c r="K418" s="6"/>
      <c r="L418" s="6"/>
      <c r="M418" s="6"/>
      <c r="N418" s="6"/>
      <c r="O418" s="6"/>
      <c r="P418" s="6"/>
      <c r="Q418" s="6"/>
      <c r="R418" s="6"/>
      <c r="S418" s="6"/>
      <c r="T418" s="6"/>
      <c r="U418" s="6"/>
      <c r="V418" s="6"/>
      <c r="W418" s="6"/>
      <c r="X418" s="6"/>
      <c r="Y418" s="6"/>
      <c r="Z418" s="6"/>
    </row>
    <row r="419">
      <c r="A419" s="9"/>
      <c r="B419" s="9"/>
      <c r="C419" s="9"/>
      <c r="D419" s="6"/>
      <c r="E419" s="9"/>
      <c r="F419" s="6"/>
      <c r="G419" s="6"/>
      <c r="H419" s="6"/>
      <c r="I419" s="6"/>
      <c r="J419" s="6"/>
      <c r="K419" s="6"/>
      <c r="L419" s="6"/>
      <c r="M419" s="6"/>
      <c r="N419" s="6"/>
      <c r="O419" s="6"/>
      <c r="P419" s="6"/>
      <c r="Q419" s="6"/>
      <c r="R419" s="6"/>
      <c r="S419" s="6"/>
      <c r="T419" s="6"/>
      <c r="U419" s="6"/>
      <c r="V419" s="6"/>
      <c r="W419" s="6"/>
      <c r="X419" s="6"/>
      <c r="Y419" s="6"/>
      <c r="Z419" s="6"/>
    </row>
    <row r="420">
      <c r="A420" s="9"/>
      <c r="B420" s="9"/>
      <c r="C420" s="9"/>
      <c r="D420" s="6"/>
      <c r="E420" s="9"/>
      <c r="F420" s="6"/>
      <c r="G420" s="6"/>
      <c r="H420" s="6"/>
      <c r="I420" s="6"/>
      <c r="J420" s="6"/>
      <c r="K420" s="6"/>
      <c r="L420" s="6"/>
      <c r="M420" s="6"/>
      <c r="N420" s="6"/>
      <c r="O420" s="6"/>
      <c r="P420" s="6"/>
      <c r="Q420" s="6"/>
      <c r="R420" s="6"/>
      <c r="S420" s="6"/>
      <c r="T420" s="6"/>
      <c r="U420" s="6"/>
      <c r="V420" s="6"/>
      <c r="W420" s="6"/>
      <c r="X420" s="6"/>
      <c r="Y420" s="6"/>
      <c r="Z420" s="6"/>
    </row>
    <row r="421">
      <c r="A421" s="9"/>
      <c r="B421" s="9"/>
      <c r="C421" s="9"/>
      <c r="D421" s="6"/>
      <c r="E421" s="9"/>
      <c r="F421" s="6"/>
      <c r="G421" s="6"/>
      <c r="H421" s="6"/>
      <c r="I421" s="6"/>
      <c r="J421" s="6"/>
      <c r="K421" s="6"/>
      <c r="L421" s="6"/>
      <c r="M421" s="6"/>
      <c r="N421" s="6"/>
      <c r="O421" s="6"/>
      <c r="P421" s="6"/>
      <c r="Q421" s="6"/>
      <c r="R421" s="6"/>
      <c r="S421" s="6"/>
      <c r="T421" s="6"/>
      <c r="U421" s="6"/>
      <c r="V421" s="6"/>
      <c r="W421" s="6"/>
      <c r="X421" s="6"/>
      <c r="Y421" s="6"/>
      <c r="Z421" s="6"/>
    </row>
    <row r="422">
      <c r="A422" s="9"/>
      <c r="B422" s="9"/>
      <c r="C422" s="9"/>
      <c r="D422" s="6"/>
      <c r="E422" s="9"/>
      <c r="F422" s="6"/>
      <c r="G422" s="6"/>
      <c r="H422" s="6"/>
      <c r="I422" s="6"/>
      <c r="J422" s="6"/>
      <c r="K422" s="6"/>
      <c r="L422" s="6"/>
      <c r="M422" s="6"/>
      <c r="N422" s="6"/>
      <c r="O422" s="6"/>
      <c r="P422" s="6"/>
      <c r="Q422" s="6"/>
      <c r="R422" s="6"/>
      <c r="S422" s="6"/>
      <c r="T422" s="6"/>
      <c r="U422" s="6"/>
      <c r="V422" s="6"/>
      <c r="W422" s="6"/>
      <c r="X422" s="6"/>
      <c r="Y422" s="6"/>
      <c r="Z422" s="6"/>
    </row>
    <row r="423">
      <c r="A423" s="9"/>
      <c r="B423" s="9"/>
      <c r="C423" s="9"/>
      <c r="D423" s="6"/>
      <c r="E423" s="9"/>
      <c r="F423" s="6"/>
      <c r="G423" s="6"/>
      <c r="H423" s="6"/>
      <c r="I423" s="6"/>
      <c r="J423" s="6"/>
      <c r="K423" s="6"/>
      <c r="L423" s="6"/>
      <c r="M423" s="6"/>
      <c r="N423" s="6"/>
      <c r="O423" s="6"/>
      <c r="P423" s="6"/>
      <c r="Q423" s="6"/>
      <c r="R423" s="6"/>
      <c r="S423" s="6"/>
      <c r="T423" s="6"/>
      <c r="U423" s="6"/>
      <c r="V423" s="6"/>
      <c r="W423" s="6"/>
      <c r="X423" s="6"/>
      <c r="Y423" s="6"/>
      <c r="Z423" s="6"/>
    </row>
    <row r="424">
      <c r="A424" s="9"/>
      <c r="B424" s="9"/>
      <c r="C424" s="9"/>
      <c r="D424" s="6"/>
      <c r="E424" s="9"/>
      <c r="F424" s="6"/>
      <c r="G424" s="6"/>
      <c r="H424" s="6"/>
      <c r="I424" s="6"/>
      <c r="J424" s="6"/>
      <c r="K424" s="6"/>
      <c r="L424" s="6"/>
      <c r="M424" s="6"/>
      <c r="N424" s="6"/>
      <c r="O424" s="6"/>
      <c r="P424" s="6"/>
      <c r="Q424" s="6"/>
      <c r="R424" s="6"/>
      <c r="S424" s="6"/>
      <c r="T424" s="6"/>
      <c r="U424" s="6"/>
      <c r="V424" s="6"/>
      <c r="W424" s="6"/>
      <c r="X424" s="6"/>
      <c r="Y424" s="6"/>
      <c r="Z424" s="6"/>
    </row>
    <row r="425">
      <c r="A425" s="9"/>
      <c r="B425" s="9"/>
      <c r="C425" s="9"/>
      <c r="D425" s="6"/>
      <c r="E425" s="9"/>
      <c r="F425" s="6"/>
      <c r="G425" s="6"/>
      <c r="H425" s="6"/>
      <c r="I425" s="6"/>
      <c r="J425" s="6"/>
      <c r="K425" s="6"/>
      <c r="L425" s="6"/>
      <c r="M425" s="6"/>
      <c r="N425" s="6"/>
      <c r="O425" s="6"/>
      <c r="P425" s="6"/>
      <c r="Q425" s="6"/>
      <c r="R425" s="6"/>
      <c r="S425" s="6"/>
      <c r="T425" s="6"/>
      <c r="U425" s="6"/>
      <c r="V425" s="6"/>
      <c r="W425" s="6"/>
      <c r="X425" s="6"/>
      <c r="Y425" s="6"/>
      <c r="Z425" s="6"/>
    </row>
    <row r="426">
      <c r="A426" s="9"/>
      <c r="B426" s="9"/>
      <c r="C426" s="9"/>
      <c r="D426" s="6"/>
      <c r="E426" s="9"/>
      <c r="F426" s="6"/>
      <c r="G426" s="6"/>
      <c r="H426" s="6"/>
      <c r="I426" s="6"/>
      <c r="J426" s="6"/>
      <c r="K426" s="6"/>
      <c r="L426" s="6"/>
      <c r="M426" s="6"/>
      <c r="N426" s="6"/>
      <c r="O426" s="6"/>
      <c r="P426" s="6"/>
      <c r="Q426" s="6"/>
      <c r="R426" s="6"/>
      <c r="S426" s="6"/>
      <c r="T426" s="6"/>
      <c r="U426" s="6"/>
      <c r="V426" s="6"/>
      <c r="W426" s="6"/>
      <c r="X426" s="6"/>
      <c r="Y426" s="6"/>
      <c r="Z426" s="6"/>
    </row>
    <row r="427">
      <c r="A427" s="9"/>
      <c r="B427" s="9"/>
      <c r="C427" s="9"/>
      <c r="D427" s="6"/>
      <c r="E427" s="9"/>
      <c r="F427" s="6"/>
      <c r="G427" s="6"/>
      <c r="H427" s="6"/>
      <c r="I427" s="6"/>
      <c r="J427" s="6"/>
      <c r="K427" s="6"/>
      <c r="L427" s="6"/>
      <c r="M427" s="6"/>
      <c r="N427" s="6"/>
      <c r="O427" s="6"/>
      <c r="P427" s="6"/>
      <c r="Q427" s="6"/>
      <c r="R427" s="6"/>
      <c r="S427" s="6"/>
      <c r="T427" s="6"/>
      <c r="U427" s="6"/>
      <c r="V427" s="6"/>
      <c r="W427" s="6"/>
      <c r="X427" s="6"/>
      <c r="Y427" s="6"/>
      <c r="Z427" s="6"/>
    </row>
    <row r="428">
      <c r="A428" s="9"/>
      <c r="B428" s="9"/>
      <c r="C428" s="9"/>
      <c r="D428" s="6"/>
      <c r="E428" s="9"/>
      <c r="F428" s="6"/>
      <c r="G428" s="6"/>
      <c r="H428" s="6"/>
      <c r="I428" s="6"/>
      <c r="J428" s="6"/>
      <c r="K428" s="6"/>
      <c r="L428" s="6"/>
      <c r="M428" s="6"/>
      <c r="N428" s="6"/>
      <c r="O428" s="6"/>
      <c r="P428" s="6"/>
      <c r="Q428" s="6"/>
      <c r="R428" s="6"/>
      <c r="S428" s="6"/>
      <c r="T428" s="6"/>
      <c r="U428" s="6"/>
      <c r="V428" s="6"/>
      <c r="W428" s="6"/>
      <c r="X428" s="6"/>
      <c r="Y428" s="6"/>
      <c r="Z428" s="6"/>
    </row>
    <row r="429">
      <c r="A429" s="9"/>
      <c r="B429" s="9"/>
      <c r="C429" s="9"/>
      <c r="D429" s="6"/>
      <c r="E429" s="9"/>
      <c r="F429" s="6"/>
      <c r="G429" s="6"/>
      <c r="H429" s="6"/>
      <c r="I429" s="6"/>
      <c r="J429" s="6"/>
      <c r="K429" s="6"/>
      <c r="L429" s="6"/>
      <c r="M429" s="6"/>
      <c r="N429" s="6"/>
      <c r="O429" s="6"/>
      <c r="P429" s="6"/>
      <c r="Q429" s="6"/>
      <c r="R429" s="6"/>
      <c r="S429" s="6"/>
      <c r="T429" s="6"/>
      <c r="U429" s="6"/>
      <c r="V429" s="6"/>
      <c r="W429" s="6"/>
      <c r="X429" s="6"/>
      <c r="Y429" s="6"/>
      <c r="Z429" s="6"/>
    </row>
    <row r="430">
      <c r="A430" s="9"/>
      <c r="B430" s="9"/>
      <c r="C430" s="9"/>
      <c r="D430" s="6"/>
      <c r="E430" s="9"/>
      <c r="F430" s="6"/>
      <c r="G430" s="6"/>
      <c r="H430" s="6"/>
      <c r="I430" s="6"/>
      <c r="J430" s="6"/>
      <c r="K430" s="6"/>
      <c r="L430" s="6"/>
      <c r="M430" s="6"/>
      <c r="N430" s="6"/>
      <c r="O430" s="6"/>
      <c r="P430" s="6"/>
      <c r="Q430" s="6"/>
      <c r="R430" s="6"/>
      <c r="S430" s="6"/>
      <c r="T430" s="6"/>
      <c r="U430" s="6"/>
      <c r="V430" s="6"/>
      <c r="W430" s="6"/>
      <c r="X430" s="6"/>
      <c r="Y430" s="6"/>
      <c r="Z430" s="6"/>
    </row>
    <row r="431">
      <c r="A431" s="9"/>
      <c r="B431" s="9"/>
      <c r="C431" s="9"/>
      <c r="D431" s="6"/>
      <c r="E431" s="9"/>
      <c r="F431" s="6"/>
      <c r="G431" s="6"/>
      <c r="H431" s="6"/>
      <c r="I431" s="6"/>
      <c r="J431" s="6"/>
      <c r="K431" s="6"/>
      <c r="L431" s="6"/>
      <c r="M431" s="6"/>
      <c r="N431" s="6"/>
      <c r="O431" s="6"/>
      <c r="P431" s="6"/>
      <c r="Q431" s="6"/>
      <c r="R431" s="6"/>
      <c r="S431" s="6"/>
      <c r="T431" s="6"/>
      <c r="U431" s="6"/>
      <c r="V431" s="6"/>
      <c r="W431" s="6"/>
      <c r="X431" s="6"/>
      <c r="Y431" s="6"/>
      <c r="Z431" s="6"/>
    </row>
    <row r="432">
      <c r="A432" s="9"/>
      <c r="B432" s="9"/>
      <c r="C432" s="9"/>
      <c r="D432" s="6"/>
      <c r="E432" s="9"/>
      <c r="F432" s="6"/>
      <c r="G432" s="6"/>
      <c r="H432" s="6"/>
      <c r="I432" s="6"/>
      <c r="J432" s="6"/>
      <c r="K432" s="6"/>
      <c r="L432" s="6"/>
      <c r="M432" s="6"/>
      <c r="N432" s="6"/>
      <c r="O432" s="6"/>
      <c r="P432" s="6"/>
      <c r="Q432" s="6"/>
      <c r="R432" s="6"/>
      <c r="S432" s="6"/>
      <c r="T432" s="6"/>
      <c r="U432" s="6"/>
      <c r="V432" s="6"/>
      <c r="W432" s="6"/>
      <c r="X432" s="6"/>
      <c r="Y432" s="6"/>
      <c r="Z432" s="6"/>
    </row>
    <row r="433">
      <c r="A433" s="9"/>
      <c r="B433" s="9"/>
      <c r="C433" s="9"/>
      <c r="D433" s="6"/>
      <c r="E433" s="9"/>
      <c r="F433" s="6"/>
      <c r="G433" s="6"/>
      <c r="H433" s="6"/>
      <c r="I433" s="6"/>
      <c r="J433" s="6"/>
      <c r="K433" s="6"/>
      <c r="L433" s="6"/>
      <c r="M433" s="6"/>
      <c r="N433" s="6"/>
      <c r="O433" s="6"/>
      <c r="P433" s="6"/>
      <c r="Q433" s="6"/>
      <c r="R433" s="6"/>
      <c r="S433" s="6"/>
      <c r="T433" s="6"/>
      <c r="U433" s="6"/>
      <c r="V433" s="6"/>
      <c r="W433" s="6"/>
      <c r="X433" s="6"/>
      <c r="Y433" s="6"/>
      <c r="Z433" s="6"/>
    </row>
    <row r="434">
      <c r="A434" s="9"/>
      <c r="B434" s="9"/>
      <c r="C434" s="9"/>
      <c r="D434" s="6"/>
      <c r="E434" s="9"/>
      <c r="F434" s="6"/>
      <c r="G434" s="6"/>
      <c r="H434" s="6"/>
      <c r="I434" s="6"/>
      <c r="J434" s="6"/>
      <c r="K434" s="6"/>
      <c r="L434" s="6"/>
      <c r="M434" s="6"/>
      <c r="N434" s="6"/>
      <c r="O434" s="6"/>
      <c r="P434" s="6"/>
      <c r="Q434" s="6"/>
      <c r="R434" s="6"/>
      <c r="S434" s="6"/>
      <c r="T434" s="6"/>
      <c r="U434" s="6"/>
      <c r="V434" s="6"/>
      <c r="W434" s="6"/>
      <c r="X434" s="6"/>
      <c r="Y434" s="6"/>
      <c r="Z434" s="6"/>
    </row>
    <row r="435">
      <c r="A435" s="9"/>
      <c r="B435" s="9"/>
      <c r="C435" s="9"/>
      <c r="D435" s="6"/>
      <c r="E435" s="9"/>
      <c r="F435" s="6"/>
      <c r="G435" s="6"/>
      <c r="H435" s="6"/>
      <c r="I435" s="6"/>
      <c r="J435" s="6"/>
      <c r="K435" s="6"/>
      <c r="L435" s="6"/>
      <c r="M435" s="6"/>
      <c r="N435" s="6"/>
      <c r="O435" s="6"/>
      <c r="P435" s="6"/>
      <c r="Q435" s="6"/>
      <c r="R435" s="6"/>
      <c r="S435" s="6"/>
      <c r="T435" s="6"/>
      <c r="U435" s="6"/>
      <c r="V435" s="6"/>
      <c r="W435" s="6"/>
      <c r="X435" s="6"/>
      <c r="Y435" s="6"/>
      <c r="Z435" s="6"/>
    </row>
    <row r="436">
      <c r="A436" s="9"/>
      <c r="B436" s="9"/>
      <c r="C436" s="9"/>
      <c r="D436" s="6"/>
      <c r="E436" s="9"/>
      <c r="F436" s="6"/>
      <c r="G436" s="6"/>
      <c r="H436" s="6"/>
      <c r="I436" s="6"/>
      <c r="J436" s="6"/>
      <c r="K436" s="6"/>
      <c r="L436" s="6"/>
      <c r="M436" s="6"/>
      <c r="N436" s="6"/>
      <c r="O436" s="6"/>
      <c r="P436" s="6"/>
      <c r="Q436" s="6"/>
      <c r="R436" s="6"/>
      <c r="S436" s="6"/>
      <c r="T436" s="6"/>
      <c r="U436" s="6"/>
      <c r="V436" s="6"/>
      <c r="W436" s="6"/>
      <c r="X436" s="6"/>
      <c r="Y436" s="6"/>
      <c r="Z436" s="6"/>
    </row>
    <row r="437">
      <c r="A437" s="9"/>
      <c r="B437" s="9"/>
      <c r="C437" s="9"/>
      <c r="D437" s="6"/>
      <c r="E437" s="9"/>
      <c r="F437" s="6"/>
      <c r="G437" s="6"/>
      <c r="H437" s="6"/>
      <c r="I437" s="6"/>
      <c r="J437" s="6"/>
      <c r="K437" s="6"/>
      <c r="L437" s="6"/>
      <c r="M437" s="6"/>
      <c r="N437" s="6"/>
      <c r="O437" s="6"/>
      <c r="P437" s="6"/>
      <c r="Q437" s="6"/>
      <c r="R437" s="6"/>
      <c r="S437" s="6"/>
      <c r="T437" s="6"/>
      <c r="U437" s="6"/>
      <c r="V437" s="6"/>
      <c r="W437" s="6"/>
      <c r="X437" s="6"/>
      <c r="Y437" s="6"/>
      <c r="Z437" s="6"/>
    </row>
    <row r="438">
      <c r="A438" s="9"/>
      <c r="B438" s="9"/>
      <c r="C438" s="9"/>
      <c r="D438" s="6"/>
      <c r="E438" s="9"/>
      <c r="F438" s="6"/>
      <c r="G438" s="6"/>
      <c r="H438" s="6"/>
      <c r="I438" s="6"/>
      <c r="J438" s="6"/>
      <c r="K438" s="6"/>
      <c r="L438" s="6"/>
      <c r="M438" s="6"/>
      <c r="N438" s="6"/>
      <c r="O438" s="6"/>
      <c r="P438" s="6"/>
      <c r="Q438" s="6"/>
      <c r="R438" s="6"/>
      <c r="S438" s="6"/>
      <c r="T438" s="6"/>
      <c r="U438" s="6"/>
      <c r="V438" s="6"/>
      <c r="W438" s="6"/>
      <c r="X438" s="6"/>
      <c r="Y438" s="6"/>
      <c r="Z438" s="6"/>
    </row>
    <row r="439">
      <c r="A439" s="9"/>
      <c r="B439" s="9"/>
      <c r="C439" s="9"/>
      <c r="D439" s="6"/>
      <c r="E439" s="9"/>
      <c r="F439" s="6"/>
      <c r="G439" s="6"/>
      <c r="H439" s="6"/>
      <c r="I439" s="6"/>
      <c r="J439" s="6"/>
      <c r="K439" s="6"/>
      <c r="L439" s="6"/>
      <c r="M439" s="6"/>
      <c r="N439" s="6"/>
      <c r="O439" s="6"/>
      <c r="P439" s="6"/>
      <c r="Q439" s="6"/>
      <c r="R439" s="6"/>
      <c r="S439" s="6"/>
      <c r="T439" s="6"/>
      <c r="U439" s="6"/>
      <c r="V439" s="6"/>
      <c r="W439" s="6"/>
      <c r="X439" s="6"/>
      <c r="Y439" s="6"/>
      <c r="Z439" s="6"/>
    </row>
    <row r="440">
      <c r="A440" s="9"/>
      <c r="B440" s="9"/>
      <c r="C440" s="9"/>
      <c r="D440" s="6"/>
      <c r="E440" s="9"/>
      <c r="F440" s="6"/>
      <c r="G440" s="6"/>
      <c r="H440" s="6"/>
      <c r="I440" s="6"/>
      <c r="J440" s="6"/>
      <c r="K440" s="6"/>
      <c r="L440" s="6"/>
      <c r="M440" s="6"/>
      <c r="N440" s="6"/>
      <c r="O440" s="6"/>
      <c r="P440" s="6"/>
      <c r="Q440" s="6"/>
      <c r="R440" s="6"/>
      <c r="S440" s="6"/>
      <c r="T440" s="6"/>
      <c r="U440" s="6"/>
      <c r="V440" s="6"/>
      <c r="W440" s="6"/>
      <c r="X440" s="6"/>
      <c r="Y440" s="6"/>
      <c r="Z440" s="6"/>
    </row>
    <row r="441">
      <c r="A441" s="9"/>
      <c r="B441" s="9"/>
      <c r="C441" s="9"/>
      <c r="D441" s="6"/>
      <c r="E441" s="9"/>
      <c r="F441" s="6"/>
      <c r="G441" s="6"/>
      <c r="H441" s="6"/>
      <c r="I441" s="6"/>
      <c r="J441" s="6"/>
      <c r="K441" s="6"/>
      <c r="L441" s="6"/>
      <c r="M441" s="6"/>
      <c r="N441" s="6"/>
      <c r="O441" s="6"/>
      <c r="P441" s="6"/>
      <c r="Q441" s="6"/>
      <c r="R441" s="6"/>
      <c r="S441" s="6"/>
      <c r="T441" s="6"/>
      <c r="U441" s="6"/>
      <c r="V441" s="6"/>
      <c r="W441" s="6"/>
      <c r="X441" s="6"/>
      <c r="Y441" s="6"/>
      <c r="Z441" s="6"/>
    </row>
    <row r="442">
      <c r="A442" s="9"/>
      <c r="B442" s="9"/>
      <c r="C442" s="9"/>
      <c r="D442" s="6"/>
      <c r="E442" s="9"/>
      <c r="F442" s="6"/>
      <c r="G442" s="6"/>
      <c r="H442" s="6"/>
      <c r="I442" s="6"/>
      <c r="J442" s="6"/>
      <c r="K442" s="6"/>
      <c r="L442" s="6"/>
      <c r="M442" s="6"/>
      <c r="N442" s="6"/>
      <c r="O442" s="6"/>
      <c r="P442" s="6"/>
      <c r="Q442" s="6"/>
      <c r="R442" s="6"/>
      <c r="S442" s="6"/>
      <c r="T442" s="6"/>
      <c r="U442" s="6"/>
      <c r="V442" s="6"/>
      <c r="W442" s="6"/>
      <c r="X442" s="6"/>
      <c r="Y442" s="6"/>
      <c r="Z442" s="6"/>
    </row>
    <row r="443">
      <c r="A443" s="9"/>
      <c r="B443" s="9"/>
      <c r="C443" s="9"/>
      <c r="D443" s="6"/>
      <c r="E443" s="9"/>
      <c r="F443" s="6"/>
      <c r="G443" s="6"/>
      <c r="H443" s="6"/>
      <c r="I443" s="6"/>
      <c r="J443" s="6"/>
      <c r="K443" s="6"/>
      <c r="L443" s="6"/>
      <c r="M443" s="6"/>
      <c r="N443" s="6"/>
      <c r="O443" s="6"/>
      <c r="P443" s="6"/>
      <c r="Q443" s="6"/>
      <c r="R443" s="6"/>
      <c r="S443" s="6"/>
      <c r="T443" s="6"/>
      <c r="U443" s="6"/>
      <c r="V443" s="6"/>
      <c r="W443" s="6"/>
      <c r="X443" s="6"/>
      <c r="Y443" s="6"/>
      <c r="Z443" s="6"/>
    </row>
    <row r="444">
      <c r="A444" s="9"/>
      <c r="B444" s="9"/>
      <c r="C444" s="9"/>
      <c r="D444" s="6"/>
      <c r="E444" s="9"/>
      <c r="F444" s="6"/>
      <c r="G444" s="6"/>
      <c r="H444" s="6"/>
      <c r="I444" s="6"/>
      <c r="J444" s="6"/>
      <c r="K444" s="6"/>
      <c r="L444" s="6"/>
      <c r="M444" s="6"/>
      <c r="N444" s="6"/>
      <c r="O444" s="6"/>
      <c r="P444" s="6"/>
      <c r="Q444" s="6"/>
      <c r="R444" s="6"/>
      <c r="S444" s="6"/>
      <c r="T444" s="6"/>
      <c r="U444" s="6"/>
      <c r="V444" s="6"/>
      <c r="W444" s="6"/>
      <c r="X444" s="6"/>
      <c r="Y444" s="6"/>
      <c r="Z444" s="6"/>
    </row>
    <row r="445">
      <c r="A445" s="9"/>
      <c r="B445" s="9"/>
      <c r="C445" s="9"/>
      <c r="D445" s="6"/>
      <c r="E445" s="9"/>
      <c r="F445" s="6"/>
      <c r="G445" s="6"/>
      <c r="H445" s="6"/>
      <c r="I445" s="6"/>
      <c r="J445" s="6"/>
      <c r="K445" s="6"/>
      <c r="L445" s="6"/>
      <c r="M445" s="6"/>
      <c r="N445" s="6"/>
      <c r="O445" s="6"/>
      <c r="P445" s="6"/>
      <c r="Q445" s="6"/>
      <c r="R445" s="6"/>
      <c r="S445" s="6"/>
      <c r="T445" s="6"/>
      <c r="U445" s="6"/>
      <c r="V445" s="6"/>
      <c r="W445" s="6"/>
      <c r="X445" s="6"/>
      <c r="Y445" s="6"/>
      <c r="Z445" s="6"/>
    </row>
    <row r="446">
      <c r="A446" s="9"/>
      <c r="B446" s="9"/>
      <c r="C446" s="9"/>
      <c r="D446" s="6"/>
      <c r="E446" s="9"/>
      <c r="F446" s="6"/>
      <c r="G446" s="6"/>
      <c r="H446" s="6"/>
      <c r="I446" s="6"/>
      <c r="J446" s="6"/>
      <c r="K446" s="6"/>
      <c r="L446" s="6"/>
      <c r="M446" s="6"/>
      <c r="N446" s="6"/>
      <c r="O446" s="6"/>
      <c r="P446" s="6"/>
      <c r="Q446" s="6"/>
      <c r="R446" s="6"/>
      <c r="S446" s="6"/>
      <c r="T446" s="6"/>
      <c r="U446" s="6"/>
      <c r="V446" s="6"/>
      <c r="W446" s="6"/>
      <c r="X446" s="6"/>
      <c r="Y446" s="6"/>
      <c r="Z446" s="6"/>
    </row>
    <row r="447">
      <c r="A447" s="9"/>
      <c r="B447" s="9"/>
      <c r="C447" s="9"/>
      <c r="D447" s="6"/>
      <c r="E447" s="9"/>
      <c r="F447" s="6"/>
      <c r="G447" s="6"/>
      <c r="H447" s="6"/>
      <c r="I447" s="6"/>
      <c r="J447" s="6"/>
      <c r="K447" s="6"/>
      <c r="L447" s="6"/>
      <c r="M447" s="6"/>
      <c r="N447" s="6"/>
      <c r="O447" s="6"/>
      <c r="P447" s="6"/>
      <c r="Q447" s="6"/>
      <c r="R447" s="6"/>
      <c r="S447" s="6"/>
      <c r="T447" s="6"/>
      <c r="U447" s="6"/>
      <c r="V447" s="6"/>
      <c r="W447" s="6"/>
      <c r="X447" s="6"/>
      <c r="Y447" s="6"/>
      <c r="Z447" s="6"/>
    </row>
    <row r="448">
      <c r="A448" s="9"/>
      <c r="B448" s="9"/>
      <c r="C448" s="9"/>
      <c r="D448" s="6"/>
      <c r="E448" s="9"/>
      <c r="F448" s="6"/>
      <c r="G448" s="6"/>
      <c r="H448" s="6"/>
      <c r="I448" s="6"/>
      <c r="J448" s="6"/>
      <c r="K448" s="6"/>
      <c r="L448" s="6"/>
      <c r="M448" s="6"/>
      <c r="N448" s="6"/>
      <c r="O448" s="6"/>
      <c r="P448" s="6"/>
      <c r="Q448" s="6"/>
      <c r="R448" s="6"/>
      <c r="S448" s="6"/>
      <c r="T448" s="6"/>
      <c r="U448" s="6"/>
      <c r="V448" s="6"/>
      <c r="W448" s="6"/>
      <c r="X448" s="6"/>
      <c r="Y448" s="6"/>
      <c r="Z448" s="6"/>
    </row>
    <row r="449">
      <c r="A449" s="9"/>
      <c r="B449" s="9"/>
      <c r="C449" s="9"/>
      <c r="D449" s="6"/>
      <c r="E449" s="9"/>
      <c r="F449" s="6"/>
      <c r="G449" s="6"/>
      <c r="H449" s="6"/>
      <c r="I449" s="6"/>
      <c r="J449" s="6"/>
      <c r="K449" s="6"/>
      <c r="L449" s="6"/>
      <c r="M449" s="6"/>
      <c r="N449" s="6"/>
      <c r="O449" s="6"/>
      <c r="P449" s="6"/>
      <c r="Q449" s="6"/>
      <c r="R449" s="6"/>
      <c r="S449" s="6"/>
      <c r="T449" s="6"/>
      <c r="U449" s="6"/>
      <c r="V449" s="6"/>
      <c r="W449" s="6"/>
      <c r="X449" s="6"/>
      <c r="Y449" s="6"/>
      <c r="Z449" s="6"/>
    </row>
    <row r="450">
      <c r="A450" s="9"/>
      <c r="B450" s="9"/>
      <c r="C450" s="9"/>
      <c r="D450" s="6"/>
      <c r="E450" s="9"/>
      <c r="F450" s="6"/>
      <c r="G450" s="6"/>
      <c r="H450" s="6"/>
      <c r="I450" s="6"/>
      <c r="J450" s="6"/>
      <c r="K450" s="6"/>
      <c r="L450" s="6"/>
      <c r="M450" s="6"/>
      <c r="N450" s="6"/>
      <c r="O450" s="6"/>
      <c r="P450" s="6"/>
      <c r="Q450" s="6"/>
      <c r="R450" s="6"/>
      <c r="S450" s="6"/>
      <c r="T450" s="6"/>
      <c r="U450" s="6"/>
      <c r="V450" s="6"/>
      <c r="W450" s="6"/>
      <c r="X450" s="6"/>
      <c r="Y450" s="6"/>
      <c r="Z450" s="6"/>
    </row>
    <row r="451">
      <c r="A451" s="9"/>
      <c r="B451" s="9"/>
      <c r="C451" s="9"/>
      <c r="D451" s="6"/>
      <c r="E451" s="9"/>
      <c r="F451" s="6"/>
      <c r="G451" s="6"/>
      <c r="H451" s="6"/>
      <c r="I451" s="6"/>
      <c r="J451" s="6"/>
      <c r="K451" s="6"/>
      <c r="L451" s="6"/>
      <c r="M451" s="6"/>
      <c r="N451" s="6"/>
      <c r="O451" s="6"/>
      <c r="P451" s="6"/>
      <c r="Q451" s="6"/>
      <c r="R451" s="6"/>
      <c r="S451" s="6"/>
      <c r="T451" s="6"/>
      <c r="U451" s="6"/>
      <c r="V451" s="6"/>
      <c r="W451" s="6"/>
      <c r="X451" s="6"/>
      <c r="Y451" s="6"/>
      <c r="Z451" s="6"/>
    </row>
    <row r="452">
      <c r="A452" s="9"/>
      <c r="B452" s="9"/>
      <c r="C452" s="9"/>
      <c r="D452" s="6"/>
      <c r="E452" s="9"/>
      <c r="F452" s="6"/>
      <c r="G452" s="6"/>
      <c r="H452" s="6"/>
      <c r="I452" s="6"/>
      <c r="J452" s="6"/>
      <c r="K452" s="6"/>
      <c r="L452" s="6"/>
      <c r="M452" s="6"/>
      <c r="N452" s="6"/>
      <c r="O452" s="6"/>
      <c r="P452" s="6"/>
      <c r="Q452" s="6"/>
      <c r="R452" s="6"/>
      <c r="S452" s="6"/>
      <c r="T452" s="6"/>
      <c r="U452" s="6"/>
      <c r="V452" s="6"/>
      <c r="W452" s="6"/>
      <c r="X452" s="6"/>
      <c r="Y452" s="6"/>
      <c r="Z452" s="6"/>
    </row>
    <row r="453">
      <c r="A453" s="9"/>
      <c r="B453" s="9"/>
      <c r="C453" s="9"/>
      <c r="D453" s="6"/>
      <c r="E453" s="9"/>
      <c r="F453" s="6"/>
      <c r="G453" s="6"/>
      <c r="H453" s="6"/>
      <c r="I453" s="6"/>
      <c r="J453" s="6"/>
      <c r="K453" s="6"/>
      <c r="L453" s="6"/>
      <c r="M453" s="6"/>
      <c r="N453" s="6"/>
      <c r="O453" s="6"/>
      <c r="P453" s="6"/>
      <c r="Q453" s="6"/>
      <c r="R453" s="6"/>
      <c r="S453" s="6"/>
      <c r="T453" s="6"/>
      <c r="U453" s="6"/>
      <c r="V453" s="6"/>
      <c r="W453" s="6"/>
      <c r="X453" s="6"/>
      <c r="Y453" s="6"/>
      <c r="Z453" s="6"/>
    </row>
    <row r="454">
      <c r="A454" s="9"/>
      <c r="B454" s="9"/>
      <c r="C454" s="9"/>
      <c r="D454" s="6"/>
      <c r="E454" s="9"/>
      <c r="F454" s="6"/>
      <c r="G454" s="6"/>
      <c r="H454" s="6"/>
      <c r="I454" s="6"/>
      <c r="J454" s="6"/>
      <c r="K454" s="6"/>
      <c r="L454" s="6"/>
      <c r="M454" s="6"/>
      <c r="N454" s="6"/>
      <c r="O454" s="6"/>
      <c r="P454" s="6"/>
      <c r="Q454" s="6"/>
      <c r="R454" s="6"/>
      <c r="S454" s="6"/>
      <c r="T454" s="6"/>
      <c r="U454" s="6"/>
      <c r="V454" s="6"/>
      <c r="W454" s="6"/>
      <c r="X454" s="6"/>
      <c r="Y454" s="6"/>
      <c r="Z454" s="6"/>
    </row>
    <row r="455">
      <c r="A455" s="9"/>
      <c r="B455" s="9"/>
      <c r="C455" s="9"/>
      <c r="D455" s="6"/>
      <c r="E455" s="9"/>
      <c r="F455" s="6"/>
      <c r="G455" s="6"/>
      <c r="H455" s="6"/>
      <c r="I455" s="6"/>
      <c r="J455" s="6"/>
      <c r="K455" s="6"/>
      <c r="L455" s="6"/>
      <c r="M455" s="6"/>
      <c r="N455" s="6"/>
      <c r="O455" s="6"/>
      <c r="P455" s="6"/>
      <c r="Q455" s="6"/>
      <c r="R455" s="6"/>
      <c r="S455" s="6"/>
      <c r="T455" s="6"/>
      <c r="U455" s="6"/>
      <c r="V455" s="6"/>
      <c r="W455" s="6"/>
      <c r="X455" s="6"/>
      <c r="Y455" s="6"/>
      <c r="Z455" s="6"/>
    </row>
    <row r="456">
      <c r="A456" s="9"/>
      <c r="B456" s="9"/>
      <c r="C456" s="9"/>
      <c r="D456" s="6"/>
      <c r="E456" s="9"/>
      <c r="F456" s="6"/>
      <c r="G456" s="6"/>
      <c r="H456" s="6"/>
      <c r="I456" s="6"/>
      <c r="J456" s="6"/>
      <c r="K456" s="6"/>
      <c r="L456" s="6"/>
      <c r="M456" s="6"/>
      <c r="N456" s="6"/>
      <c r="O456" s="6"/>
      <c r="P456" s="6"/>
      <c r="Q456" s="6"/>
      <c r="R456" s="6"/>
      <c r="S456" s="6"/>
      <c r="T456" s="6"/>
      <c r="U456" s="6"/>
      <c r="V456" s="6"/>
      <c r="W456" s="6"/>
      <c r="X456" s="6"/>
      <c r="Y456" s="6"/>
      <c r="Z456" s="6"/>
    </row>
    <row r="457">
      <c r="A457" s="9"/>
      <c r="B457" s="9"/>
      <c r="C457" s="9"/>
      <c r="D457" s="6"/>
      <c r="E457" s="9"/>
      <c r="F457" s="6"/>
      <c r="G457" s="6"/>
      <c r="H457" s="6"/>
      <c r="I457" s="6"/>
      <c r="J457" s="6"/>
      <c r="K457" s="6"/>
      <c r="L457" s="6"/>
      <c r="M457" s="6"/>
      <c r="N457" s="6"/>
      <c r="O457" s="6"/>
      <c r="P457" s="6"/>
      <c r="Q457" s="6"/>
      <c r="R457" s="6"/>
      <c r="S457" s="6"/>
      <c r="T457" s="6"/>
      <c r="U457" s="6"/>
      <c r="V457" s="6"/>
      <c r="W457" s="6"/>
      <c r="X457" s="6"/>
      <c r="Y457" s="6"/>
      <c r="Z457" s="6"/>
    </row>
    <row r="458">
      <c r="A458" s="9"/>
      <c r="B458" s="9"/>
      <c r="C458" s="9"/>
      <c r="D458" s="6"/>
      <c r="E458" s="9"/>
      <c r="F458" s="6"/>
      <c r="G458" s="6"/>
      <c r="H458" s="6"/>
      <c r="I458" s="6"/>
      <c r="J458" s="6"/>
      <c r="K458" s="6"/>
      <c r="L458" s="6"/>
      <c r="M458" s="6"/>
      <c r="N458" s="6"/>
      <c r="O458" s="6"/>
      <c r="P458" s="6"/>
      <c r="Q458" s="6"/>
      <c r="R458" s="6"/>
      <c r="S458" s="6"/>
      <c r="T458" s="6"/>
      <c r="U458" s="6"/>
      <c r="V458" s="6"/>
      <c r="W458" s="6"/>
      <c r="X458" s="6"/>
      <c r="Y458" s="6"/>
      <c r="Z458" s="6"/>
    </row>
    <row r="459">
      <c r="A459" s="9"/>
      <c r="B459" s="9"/>
      <c r="C459" s="9"/>
      <c r="D459" s="6"/>
      <c r="E459" s="9"/>
      <c r="F459" s="6"/>
      <c r="G459" s="6"/>
      <c r="H459" s="6"/>
      <c r="I459" s="6"/>
      <c r="J459" s="6"/>
      <c r="K459" s="6"/>
      <c r="L459" s="6"/>
      <c r="M459" s="6"/>
      <c r="N459" s="6"/>
      <c r="O459" s="6"/>
      <c r="P459" s="6"/>
      <c r="Q459" s="6"/>
      <c r="R459" s="6"/>
      <c r="S459" s="6"/>
      <c r="T459" s="6"/>
      <c r="U459" s="6"/>
      <c r="V459" s="6"/>
      <c r="W459" s="6"/>
      <c r="X459" s="6"/>
      <c r="Y459" s="6"/>
      <c r="Z459" s="6"/>
    </row>
    <row r="460">
      <c r="A460" s="9"/>
      <c r="B460" s="9"/>
      <c r="C460" s="9"/>
      <c r="D460" s="6"/>
      <c r="E460" s="9"/>
      <c r="F460" s="6"/>
      <c r="G460" s="6"/>
      <c r="H460" s="6"/>
      <c r="I460" s="6"/>
      <c r="J460" s="6"/>
      <c r="K460" s="6"/>
      <c r="L460" s="6"/>
      <c r="M460" s="6"/>
      <c r="N460" s="6"/>
      <c r="O460" s="6"/>
      <c r="P460" s="6"/>
      <c r="Q460" s="6"/>
      <c r="R460" s="6"/>
      <c r="S460" s="6"/>
      <c r="T460" s="6"/>
      <c r="U460" s="6"/>
      <c r="V460" s="6"/>
      <c r="W460" s="6"/>
      <c r="X460" s="6"/>
      <c r="Y460" s="6"/>
      <c r="Z460" s="6"/>
    </row>
    <row r="461">
      <c r="A461" s="9"/>
      <c r="B461" s="9"/>
      <c r="C461" s="9"/>
      <c r="D461" s="6"/>
      <c r="E461" s="9"/>
      <c r="F461" s="6"/>
      <c r="G461" s="6"/>
      <c r="H461" s="6"/>
      <c r="I461" s="6"/>
      <c r="J461" s="6"/>
      <c r="K461" s="6"/>
      <c r="L461" s="6"/>
      <c r="M461" s="6"/>
      <c r="N461" s="6"/>
      <c r="O461" s="6"/>
      <c r="P461" s="6"/>
      <c r="Q461" s="6"/>
      <c r="R461" s="6"/>
      <c r="S461" s="6"/>
      <c r="T461" s="6"/>
      <c r="U461" s="6"/>
      <c r="V461" s="6"/>
      <c r="W461" s="6"/>
      <c r="X461" s="6"/>
      <c r="Y461" s="6"/>
      <c r="Z461" s="6"/>
    </row>
    <row r="462">
      <c r="A462" s="9"/>
      <c r="B462" s="9"/>
      <c r="C462" s="9"/>
      <c r="D462" s="6"/>
      <c r="E462" s="9"/>
      <c r="F462" s="6"/>
      <c r="G462" s="6"/>
      <c r="H462" s="6"/>
      <c r="I462" s="6"/>
      <c r="J462" s="6"/>
      <c r="K462" s="6"/>
      <c r="L462" s="6"/>
      <c r="M462" s="6"/>
      <c r="N462" s="6"/>
      <c r="O462" s="6"/>
      <c r="P462" s="6"/>
      <c r="Q462" s="6"/>
      <c r="R462" s="6"/>
      <c r="S462" s="6"/>
      <c r="T462" s="6"/>
      <c r="U462" s="6"/>
      <c r="V462" s="6"/>
      <c r="W462" s="6"/>
      <c r="X462" s="6"/>
      <c r="Y462" s="6"/>
      <c r="Z462" s="6"/>
    </row>
    <row r="463">
      <c r="A463" s="9"/>
      <c r="B463" s="9"/>
      <c r="C463" s="9"/>
      <c r="D463" s="6"/>
      <c r="E463" s="9"/>
      <c r="F463" s="6"/>
      <c r="G463" s="6"/>
      <c r="H463" s="6"/>
      <c r="I463" s="6"/>
      <c r="J463" s="6"/>
      <c r="K463" s="6"/>
      <c r="L463" s="6"/>
      <c r="M463" s="6"/>
      <c r="N463" s="6"/>
      <c r="O463" s="6"/>
      <c r="P463" s="6"/>
      <c r="Q463" s="6"/>
      <c r="R463" s="6"/>
      <c r="S463" s="6"/>
      <c r="T463" s="6"/>
      <c r="U463" s="6"/>
      <c r="V463" s="6"/>
      <c r="W463" s="6"/>
      <c r="X463" s="6"/>
      <c r="Y463" s="6"/>
      <c r="Z463" s="6"/>
    </row>
    <row r="464">
      <c r="A464" s="9"/>
      <c r="B464" s="9"/>
      <c r="C464" s="9"/>
      <c r="D464" s="6"/>
      <c r="E464" s="9"/>
      <c r="F464" s="6"/>
      <c r="G464" s="6"/>
      <c r="H464" s="6"/>
      <c r="I464" s="6"/>
      <c r="J464" s="6"/>
      <c r="K464" s="6"/>
      <c r="L464" s="6"/>
      <c r="M464" s="6"/>
      <c r="N464" s="6"/>
      <c r="O464" s="6"/>
      <c r="P464" s="6"/>
      <c r="Q464" s="6"/>
      <c r="R464" s="6"/>
      <c r="S464" s="6"/>
      <c r="T464" s="6"/>
      <c r="U464" s="6"/>
      <c r="V464" s="6"/>
      <c r="W464" s="6"/>
      <c r="X464" s="6"/>
      <c r="Y464" s="6"/>
      <c r="Z464" s="6"/>
    </row>
    <row r="465">
      <c r="A465" s="9"/>
      <c r="B465" s="9"/>
      <c r="C465" s="9"/>
      <c r="D465" s="6"/>
      <c r="E465" s="9"/>
      <c r="F465" s="6"/>
      <c r="G465" s="6"/>
      <c r="H465" s="6"/>
      <c r="I465" s="6"/>
      <c r="J465" s="6"/>
      <c r="K465" s="6"/>
      <c r="L465" s="6"/>
      <c r="M465" s="6"/>
      <c r="N465" s="6"/>
      <c r="O465" s="6"/>
      <c r="P465" s="6"/>
      <c r="Q465" s="6"/>
      <c r="R465" s="6"/>
      <c r="S465" s="6"/>
      <c r="T465" s="6"/>
      <c r="U465" s="6"/>
      <c r="V465" s="6"/>
      <c r="W465" s="6"/>
      <c r="X465" s="6"/>
      <c r="Y465" s="6"/>
      <c r="Z465" s="6"/>
    </row>
    <row r="466">
      <c r="A466" s="9"/>
      <c r="B466" s="9"/>
      <c r="C466" s="9"/>
      <c r="D466" s="6"/>
      <c r="E466" s="9"/>
      <c r="F466" s="6"/>
      <c r="G466" s="6"/>
      <c r="H466" s="6"/>
      <c r="I466" s="6"/>
      <c r="J466" s="6"/>
      <c r="K466" s="6"/>
      <c r="L466" s="6"/>
      <c r="M466" s="6"/>
      <c r="N466" s="6"/>
      <c r="O466" s="6"/>
      <c r="P466" s="6"/>
      <c r="Q466" s="6"/>
      <c r="R466" s="6"/>
      <c r="S466" s="6"/>
      <c r="T466" s="6"/>
      <c r="U466" s="6"/>
      <c r="V466" s="6"/>
      <c r="W466" s="6"/>
      <c r="X466" s="6"/>
      <c r="Y466" s="6"/>
      <c r="Z466" s="6"/>
    </row>
    <row r="467">
      <c r="A467" s="9"/>
      <c r="B467" s="9"/>
      <c r="C467" s="9"/>
      <c r="D467" s="6"/>
      <c r="E467" s="9"/>
      <c r="F467" s="6"/>
      <c r="G467" s="6"/>
      <c r="H467" s="6"/>
      <c r="I467" s="6"/>
      <c r="J467" s="6"/>
      <c r="K467" s="6"/>
      <c r="L467" s="6"/>
      <c r="M467" s="6"/>
      <c r="N467" s="6"/>
      <c r="O467" s="6"/>
      <c r="P467" s="6"/>
      <c r="Q467" s="6"/>
      <c r="R467" s="6"/>
      <c r="S467" s="6"/>
      <c r="T467" s="6"/>
      <c r="U467" s="6"/>
      <c r="V467" s="6"/>
      <c r="W467" s="6"/>
      <c r="X467" s="6"/>
      <c r="Y467" s="6"/>
      <c r="Z467" s="6"/>
    </row>
    <row r="468">
      <c r="A468" s="9"/>
      <c r="B468" s="9"/>
      <c r="C468" s="9"/>
      <c r="D468" s="6"/>
      <c r="E468" s="9"/>
      <c r="F468" s="6"/>
      <c r="G468" s="6"/>
      <c r="H468" s="6"/>
      <c r="I468" s="6"/>
      <c r="J468" s="6"/>
      <c r="K468" s="6"/>
      <c r="L468" s="6"/>
      <c r="M468" s="6"/>
      <c r="N468" s="6"/>
      <c r="O468" s="6"/>
      <c r="P468" s="6"/>
      <c r="Q468" s="6"/>
      <c r="R468" s="6"/>
      <c r="S468" s="6"/>
      <c r="T468" s="6"/>
      <c r="U468" s="6"/>
      <c r="V468" s="6"/>
      <c r="W468" s="6"/>
      <c r="X468" s="6"/>
      <c r="Y468" s="6"/>
      <c r="Z468" s="6"/>
    </row>
    <row r="469">
      <c r="A469" s="9"/>
      <c r="B469" s="9"/>
      <c r="C469" s="9"/>
      <c r="D469" s="6"/>
      <c r="E469" s="9"/>
      <c r="F469" s="6"/>
      <c r="G469" s="6"/>
      <c r="H469" s="6"/>
      <c r="I469" s="6"/>
      <c r="J469" s="6"/>
      <c r="K469" s="6"/>
      <c r="L469" s="6"/>
      <c r="M469" s="6"/>
      <c r="N469" s="6"/>
      <c r="O469" s="6"/>
      <c r="P469" s="6"/>
      <c r="Q469" s="6"/>
      <c r="R469" s="6"/>
      <c r="S469" s="6"/>
      <c r="T469" s="6"/>
      <c r="U469" s="6"/>
      <c r="V469" s="6"/>
      <c r="W469" s="6"/>
      <c r="X469" s="6"/>
      <c r="Y469" s="6"/>
      <c r="Z469" s="6"/>
    </row>
    <row r="470">
      <c r="A470" s="9"/>
      <c r="B470" s="9"/>
      <c r="C470" s="9"/>
      <c r="D470" s="6"/>
      <c r="E470" s="9"/>
      <c r="F470" s="6"/>
      <c r="G470" s="6"/>
      <c r="H470" s="6"/>
      <c r="I470" s="6"/>
      <c r="J470" s="6"/>
      <c r="K470" s="6"/>
      <c r="L470" s="6"/>
      <c r="M470" s="6"/>
      <c r="N470" s="6"/>
      <c r="O470" s="6"/>
      <c r="P470" s="6"/>
      <c r="Q470" s="6"/>
      <c r="R470" s="6"/>
      <c r="S470" s="6"/>
      <c r="T470" s="6"/>
      <c r="U470" s="6"/>
      <c r="V470" s="6"/>
      <c r="W470" s="6"/>
      <c r="X470" s="6"/>
      <c r="Y470" s="6"/>
      <c r="Z470" s="6"/>
    </row>
    <row r="471">
      <c r="A471" s="9"/>
      <c r="B471" s="9"/>
      <c r="C471" s="9"/>
      <c r="D471" s="6"/>
      <c r="E471" s="9"/>
      <c r="F471" s="6"/>
      <c r="G471" s="6"/>
      <c r="H471" s="6"/>
      <c r="I471" s="6"/>
      <c r="J471" s="6"/>
      <c r="K471" s="6"/>
      <c r="L471" s="6"/>
      <c r="M471" s="6"/>
      <c r="N471" s="6"/>
      <c r="O471" s="6"/>
      <c r="P471" s="6"/>
      <c r="Q471" s="6"/>
      <c r="R471" s="6"/>
      <c r="S471" s="6"/>
      <c r="T471" s="6"/>
      <c r="U471" s="6"/>
      <c r="V471" s="6"/>
      <c r="W471" s="6"/>
      <c r="X471" s="6"/>
      <c r="Y471" s="6"/>
      <c r="Z471" s="6"/>
    </row>
    <row r="472">
      <c r="A472" s="9"/>
      <c r="B472" s="9"/>
      <c r="C472" s="9"/>
      <c r="D472" s="6"/>
      <c r="E472" s="9"/>
      <c r="F472" s="6"/>
      <c r="G472" s="6"/>
      <c r="H472" s="6"/>
      <c r="I472" s="6"/>
      <c r="J472" s="6"/>
      <c r="K472" s="6"/>
      <c r="L472" s="6"/>
      <c r="M472" s="6"/>
      <c r="N472" s="6"/>
      <c r="O472" s="6"/>
      <c r="P472" s="6"/>
      <c r="Q472" s="6"/>
      <c r="R472" s="6"/>
      <c r="S472" s="6"/>
      <c r="T472" s="6"/>
      <c r="U472" s="6"/>
      <c r="V472" s="6"/>
      <c r="W472" s="6"/>
      <c r="X472" s="6"/>
      <c r="Y472" s="6"/>
      <c r="Z472" s="6"/>
    </row>
    <row r="473">
      <c r="A473" s="9"/>
      <c r="B473" s="9"/>
      <c r="C473" s="9"/>
      <c r="D473" s="6"/>
      <c r="E473" s="9"/>
      <c r="F473" s="6"/>
      <c r="G473" s="6"/>
      <c r="H473" s="6"/>
      <c r="I473" s="6"/>
      <c r="J473" s="6"/>
      <c r="K473" s="6"/>
      <c r="L473" s="6"/>
      <c r="M473" s="6"/>
      <c r="N473" s="6"/>
      <c r="O473" s="6"/>
      <c r="P473" s="6"/>
      <c r="Q473" s="6"/>
      <c r="R473" s="6"/>
      <c r="S473" s="6"/>
      <c r="T473" s="6"/>
      <c r="U473" s="6"/>
      <c r="V473" s="6"/>
      <c r="W473" s="6"/>
      <c r="X473" s="6"/>
      <c r="Y473" s="6"/>
      <c r="Z473" s="6"/>
    </row>
    <row r="474">
      <c r="A474" s="9"/>
      <c r="B474" s="9"/>
      <c r="C474" s="9"/>
      <c r="D474" s="6"/>
      <c r="E474" s="9"/>
      <c r="F474" s="6"/>
      <c r="G474" s="6"/>
      <c r="H474" s="6"/>
      <c r="I474" s="6"/>
      <c r="J474" s="6"/>
      <c r="K474" s="6"/>
      <c r="L474" s="6"/>
      <c r="M474" s="6"/>
      <c r="N474" s="6"/>
      <c r="O474" s="6"/>
      <c r="P474" s="6"/>
      <c r="Q474" s="6"/>
      <c r="R474" s="6"/>
      <c r="S474" s="6"/>
      <c r="T474" s="6"/>
      <c r="U474" s="6"/>
      <c r="V474" s="6"/>
      <c r="W474" s="6"/>
      <c r="X474" s="6"/>
      <c r="Y474" s="6"/>
      <c r="Z474" s="6"/>
    </row>
    <row r="475">
      <c r="A475" s="9"/>
      <c r="B475" s="9"/>
      <c r="C475" s="9"/>
      <c r="D475" s="6"/>
      <c r="E475" s="9"/>
      <c r="F475" s="6"/>
      <c r="G475" s="6"/>
      <c r="H475" s="6"/>
      <c r="I475" s="6"/>
      <c r="J475" s="6"/>
      <c r="K475" s="6"/>
      <c r="L475" s="6"/>
      <c r="M475" s="6"/>
      <c r="N475" s="6"/>
      <c r="O475" s="6"/>
      <c r="P475" s="6"/>
      <c r="Q475" s="6"/>
      <c r="R475" s="6"/>
      <c r="S475" s="6"/>
      <c r="T475" s="6"/>
      <c r="U475" s="6"/>
      <c r="V475" s="6"/>
      <c r="W475" s="6"/>
      <c r="X475" s="6"/>
      <c r="Y475" s="6"/>
      <c r="Z475" s="6"/>
    </row>
    <row r="476">
      <c r="A476" s="9"/>
      <c r="B476" s="9"/>
      <c r="C476" s="9"/>
      <c r="D476" s="6"/>
      <c r="E476" s="9"/>
      <c r="F476" s="6"/>
      <c r="G476" s="6"/>
      <c r="H476" s="6"/>
      <c r="I476" s="6"/>
      <c r="J476" s="6"/>
      <c r="K476" s="6"/>
      <c r="L476" s="6"/>
      <c r="M476" s="6"/>
      <c r="N476" s="6"/>
      <c r="O476" s="6"/>
      <c r="P476" s="6"/>
      <c r="Q476" s="6"/>
      <c r="R476" s="6"/>
      <c r="S476" s="6"/>
      <c r="T476" s="6"/>
      <c r="U476" s="6"/>
      <c r="V476" s="6"/>
      <c r="W476" s="6"/>
      <c r="X476" s="6"/>
      <c r="Y476" s="6"/>
      <c r="Z476" s="6"/>
    </row>
    <row r="477">
      <c r="A477" s="9"/>
      <c r="B477" s="9"/>
      <c r="C477" s="9"/>
      <c r="D477" s="6"/>
      <c r="E477" s="9"/>
      <c r="F477" s="6"/>
      <c r="G477" s="6"/>
      <c r="H477" s="6"/>
      <c r="I477" s="6"/>
      <c r="J477" s="6"/>
      <c r="K477" s="6"/>
      <c r="L477" s="6"/>
      <c r="M477" s="6"/>
      <c r="N477" s="6"/>
      <c r="O477" s="6"/>
      <c r="P477" s="6"/>
      <c r="Q477" s="6"/>
      <c r="R477" s="6"/>
      <c r="S477" s="6"/>
      <c r="T477" s="6"/>
      <c r="U477" s="6"/>
      <c r="V477" s="6"/>
      <c r="W477" s="6"/>
      <c r="X477" s="6"/>
      <c r="Y477" s="6"/>
      <c r="Z477" s="6"/>
    </row>
    <row r="478">
      <c r="A478" s="9"/>
      <c r="B478" s="9"/>
      <c r="C478" s="9"/>
      <c r="D478" s="6"/>
      <c r="E478" s="9"/>
      <c r="F478" s="6"/>
      <c r="G478" s="6"/>
      <c r="H478" s="6"/>
      <c r="I478" s="6"/>
      <c r="J478" s="6"/>
      <c r="K478" s="6"/>
      <c r="L478" s="6"/>
      <c r="M478" s="6"/>
      <c r="N478" s="6"/>
      <c r="O478" s="6"/>
      <c r="P478" s="6"/>
      <c r="Q478" s="6"/>
      <c r="R478" s="6"/>
      <c r="S478" s="6"/>
      <c r="T478" s="6"/>
      <c r="U478" s="6"/>
      <c r="V478" s="6"/>
      <c r="W478" s="6"/>
      <c r="X478" s="6"/>
      <c r="Y478" s="6"/>
      <c r="Z478" s="6"/>
    </row>
    <row r="479">
      <c r="A479" s="9"/>
      <c r="B479" s="9"/>
      <c r="C479" s="9"/>
      <c r="D479" s="6"/>
      <c r="E479" s="9"/>
      <c r="F479" s="6"/>
      <c r="G479" s="6"/>
      <c r="H479" s="6"/>
      <c r="I479" s="6"/>
      <c r="J479" s="6"/>
      <c r="K479" s="6"/>
      <c r="L479" s="6"/>
      <c r="M479" s="6"/>
      <c r="N479" s="6"/>
      <c r="O479" s="6"/>
      <c r="P479" s="6"/>
      <c r="Q479" s="6"/>
      <c r="R479" s="6"/>
      <c r="S479" s="6"/>
      <c r="T479" s="6"/>
      <c r="U479" s="6"/>
      <c r="V479" s="6"/>
      <c r="W479" s="6"/>
      <c r="X479" s="6"/>
      <c r="Y479" s="6"/>
      <c r="Z479" s="6"/>
    </row>
    <row r="480">
      <c r="A480" s="9"/>
      <c r="B480" s="9"/>
      <c r="C480" s="9"/>
      <c r="D480" s="6"/>
      <c r="E480" s="9"/>
      <c r="F480" s="6"/>
      <c r="G480" s="6"/>
      <c r="H480" s="6"/>
      <c r="I480" s="6"/>
      <c r="J480" s="6"/>
      <c r="K480" s="6"/>
      <c r="L480" s="6"/>
      <c r="M480" s="6"/>
      <c r="N480" s="6"/>
      <c r="O480" s="6"/>
      <c r="P480" s="6"/>
      <c r="Q480" s="6"/>
      <c r="R480" s="6"/>
      <c r="S480" s="6"/>
      <c r="T480" s="6"/>
      <c r="U480" s="6"/>
      <c r="V480" s="6"/>
      <c r="W480" s="6"/>
      <c r="X480" s="6"/>
      <c r="Y480" s="6"/>
      <c r="Z480" s="6"/>
    </row>
    <row r="481">
      <c r="A481" s="9"/>
      <c r="B481" s="9"/>
      <c r="C481" s="9"/>
      <c r="D481" s="6"/>
      <c r="E481" s="9"/>
      <c r="F481" s="6"/>
      <c r="G481" s="6"/>
      <c r="H481" s="6"/>
      <c r="I481" s="6"/>
      <c r="J481" s="6"/>
      <c r="K481" s="6"/>
      <c r="L481" s="6"/>
      <c r="M481" s="6"/>
      <c r="N481" s="6"/>
      <c r="O481" s="6"/>
      <c r="P481" s="6"/>
      <c r="Q481" s="6"/>
      <c r="R481" s="6"/>
      <c r="S481" s="6"/>
      <c r="T481" s="6"/>
      <c r="U481" s="6"/>
      <c r="V481" s="6"/>
      <c r="W481" s="6"/>
      <c r="X481" s="6"/>
      <c r="Y481" s="6"/>
      <c r="Z481" s="6"/>
    </row>
    <row r="482">
      <c r="A482" s="9"/>
      <c r="B482" s="9"/>
      <c r="C482" s="9"/>
      <c r="D482" s="6"/>
      <c r="E482" s="9"/>
      <c r="F482" s="6"/>
      <c r="G482" s="6"/>
      <c r="H482" s="6"/>
      <c r="I482" s="6"/>
      <c r="J482" s="6"/>
      <c r="K482" s="6"/>
      <c r="L482" s="6"/>
      <c r="M482" s="6"/>
      <c r="N482" s="6"/>
      <c r="O482" s="6"/>
      <c r="P482" s="6"/>
      <c r="Q482" s="6"/>
      <c r="R482" s="6"/>
      <c r="S482" s="6"/>
      <c r="T482" s="6"/>
      <c r="U482" s="6"/>
      <c r="V482" s="6"/>
      <c r="W482" s="6"/>
      <c r="X482" s="6"/>
      <c r="Y482" s="6"/>
      <c r="Z482" s="6"/>
    </row>
    <row r="483">
      <c r="A483" s="9"/>
      <c r="B483" s="9"/>
      <c r="C483" s="9"/>
      <c r="D483" s="6"/>
      <c r="E483" s="9"/>
      <c r="F483" s="6"/>
      <c r="G483" s="6"/>
      <c r="H483" s="6"/>
      <c r="I483" s="6"/>
      <c r="J483" s="6"/>
      <c r="K483" s="6"/>
      <c r="L483" s="6"/>
      <c r="M483" s="6"/>
      <c r="N483" s="6"/>
      <c r="O483" s="6"/>
      <c r="P483" s="6"/>
      <c r="Q483" s="6"/>
      <c r="R483" s="6"/>
      <c r="S483" s="6"/>
      <c r="T483" s="6"/>
      <c r="U483" s="6"/>
      <c r="V483" s="6"/>
      <c r="W483" s="6"/>
      <c r="X483" s="6"/>
      <c r="Y483" s="6"/>
      <c r="Z483" s="6"/>
    </row>
    <row r="484">
      <c r="A484" s="9"/>
      <c r="B484" s="9"/>
      <c r="C484" s="9"/>
      <c r="D484" s="6"/>
      <c r="E484" s="9"/>
      <c r="F484" s="6"/>
      <c r="G484" s="6"/>
      <c r="H484" s="6"/>
      <c r="I484" s="6"/>
      <c r="J484" s="6"/>
      <c r="K484" s="6"/>
      <c r="L484" s="6"/>
      <c r="M484" s="6"/>
      <c r="N484" s="6"/>
      <c r="O484" s="6"/>
      <c r="P484" s="6"/>
      <c r="Q484" s="6"/>
      <c r="R484" s="6"/>
      <c r="S484" s="6"/>
      <c r="T484" s="6"/>
      <c r="U484" s="6"/>
      <c r="V484" s="6"/>
      <c r="W484" s="6"/>
      <c r="X484" s="6"/>
      <c r="Y484" s="6"/>
      <c r="Z484" s="6"/>
    </row>
    <row r="485">
      <c r="A485" s="9"/>
      <c r="B485" s="9"/>
      <c r="C485" s="9"/>
      <c r="D485" s="6"/>
      <c r="E485" s="9"/>
      <c r="F485" s="6"/>
      <c r="G485" s="6"/>
      <c r="H485" s="6"/>
      <c r="I485" s="6"/>
      <c r="J485" s="6"/>
      <c r="K485" s="6"/>
      <c r="L485" s="6"/>
      <c r="M485" s="6"/>
      <c r="N485" s="6"/>
      <c r="O485" s="6"/>
      <c r="P485" s="6"/>
      <c r="Q485" s="6"/>
      <c r="R485" s="6"/>
      <c r="S485" s="6"/>
      <c r="T485" s="6"/>
      <c r="U485" s="6"/>
      <c r="V485" s="6"/>
      <c r="W485" s="6"/>
      <c r="X485" s="6"/>
      <c r="Y485" s="6"/>
      <c r="Z485" s="6"/>
    </row>
    <row r="486">
      <c r="A486" s="9"/>
      <c r="B486" s="9"/>
      <c r="C486" s="9"/>
      <c r="D486" s="6"/>
      <c r="E486" s="9"/>
      <c r="F486" s="6"/>
      <c r="G486" s="6"/>
      <c r="H486" s="6"/>
      <c r="I486" s="6"/>
      <c r="J486" s="6"/>
      <c r="K486" s="6"/>
      <c r="L486" s="6"/>
      <c r="M486" s="6"/>
      <c r="N486" s="6"/>
      <c r="O486" s="6"/>
      <c r="P486" s="6"/>
      <c r="Q486" s="6"/>
      <c r="R486" s="6"/>
      <c r="S486" s="6"/>
      <c r="T486" s="6"/>
      <c r="U486" s="6"/>
      <c r="V486" s="6"/>
      <c r="W486" s="6"/>
      <c r="X486" s="6"/>
      <c r="Y486" s="6"/>
      <c r="Z486" s="6"/>
    </row>
    <row r="487">
      <c r="A487" s="9"/>
      <c r="B487" s="9"/>
      <c r="C487" s="9"/>
      <c r="D487" s="6"/>
      <c r="E487" s="9"/>
      <c r="F487" s="6"/>
      <c r="G487" s="6"/>
      <c r="H487" s="6"/>
      <c r="I487" s="6"/>
      <c r="J487" s="6"/>
      <c r="K487" s="6"/>
      <c r="L487" s="6"/>
      <c r="M487" s="6"/>
      <c r="N487" s="6"/>
      <c r="O487" s="6"/>
      <c r="P487" s="6"/>
      <c r="Q487" s="6"/>
      <c r="R487" s="6"/>
      <c r="S487" s="6"/>
      <c r="T487" s="6"/>
      <c r="U487" s="6"/>
      <c r="V487" s="6"/>
      <c r="W487" s="6"/>
      <c r="X487" s="6"/>
      <c r="Y487" s="6"/>
      <c r="Z487" s="6"/>
    </row>
    <row r="488">
      <c r="A488" s="9"/>
      <c r="B488" s="9"/>
      <c r="C488" s="9"/>
      <c r="D488" s="6"/>
      <c r="E488" s="9"/>
      <c r="F488" s="6"/>
      <c r="G488" s="6"/>
      <c r="H488" s="6"/>
      <c r="I488" s="6"/>
      <c r="J488" s="6"/>
      <c r="K488" s="6"/>
      <c r="L488" s="6"/>
      <c r="M488" s="6"/>
      <c r="N488" s="6"/>
      <c r="O488" s="6"/>
      <c r="P488" s="6"/>
      <c r="Q488" s="6"/>
      <c r="R488" s="6"/>
      <c r="S488" s="6"/>
      <c r="T488" s="6"/>
      <c r="U488" s="6"/>
      <c r="V488" s="6"/>
      <c r="W488" s="6"/>
      <c r="X488" s="6"/>
      <c r="Y488" s="6"/>
      <c r="Z488" s="6"/>
    </row>
    <row r="489">
      <c r="A489" s="9"/>
      <c r="B489" s="9"/>
      <c r="C489" s="9"/>
      <c r="D489" s="6"/>
      <c r="E489" s="9"/>
      <c r="F489" s="6"/>
      <c r="G489" s="6"/>
      <c r="H489" s="6"/>
      <c r="I489" s="6"/>
      <c r="J489" s="6"/>
      <c r="K489" s="6"/>
      <c r="L489" s="6"/>
      <c r="M489" s="6"/>
      <c r="N489" s="6"/>
      <c r="O489" s="6"/>
      <c r="P489" s="6"/>
      <c r="Q489" s="6"/>
      <c r="R489" s="6"/>
      <c r="S489" s="6"/>
      <c r="T489" s="6"/>
      <c r="U489" s="6"/>
      <c r="V489" s="6"/>
      <c r="W489" s="6"/>
      <c r="X489" s="6"/>
      <c r="Y489" s="6"/>
      <c r="Z489" s="6"/>
    </row>
    <row r="490">
      <c r="A490" s="9"/>
      <c r="B490" s="9"/>
      <c r="C490" s="9"/>
      <c r="D490" s="6"/>
      <c r="E490" s="9"/>
      <c r="F490" s="6"/>
      <c r="G490" s="6"/>
      <c r="H490" s="6"/>
      <c r="I490" s="6"/>
      <c r="J490" s="6"/>
      <c r="K490" s="6"/>
      <c r="L490" s="6"/>
      <c r="M490" s="6"/>
      <c r="N490" s="6"/>
      <c r="O490" s="6"/>
      <c r="P490" s="6"/>
      <c r="Q490" s="6"/>
      <c r="R490" s="6"/>
      <c r="S490" s="6"/>
      <c r="T490" s="6"/>
      <c r="U490" s="6"/>
      <c r="V490" s="6"/>
      <c r="W490" s="6"/>
      <c r="X490" s="6"/>
      <c r="Y490" s="6"/>
      <c r="Z490" s="6"/>
    </row>
    <row r="491">
      <c r="A491" s="9"/>
      <c r="B491" s="9"/>
      <c r="C491" s="9"/>
      <c r="D491" s="6"/>
      <c r="E491" s="9"/>
      <c r="F491" s="6"/>
      <c r="G491" s="6"/>
      <c r="H491" s="6"/>
      <c r="I491" s="6"/>
      <c r="J491" s="6"/>
      <c r="K491" s="6"/>
      <c r="L491" s="6"/>
      <c r="M491" s="6"/>
      <c r="N491" s="6"/>
      <c r="O491" s="6"/>
      <c r="P491" s="6"/>
      <c r="Q491" s="6"/>
      <c r="R491" s="6"/>
      <c r="S491" s="6"/>
      <c r="T491" s="6"/>
      <c r="U491" s="6"/>
      <c r="V491" s="6"/>
      <c r="W491" s="6"/>
      <c r="X491" s="6"/>
      <c r="Y491" s="6"/>
      <c r="Z491" s="6"/>
    </row>
    <row r="492">
      <c r="A492" s="9"/>
      <c r="B492" s="9"/>
      <c r="C492" s="9"/>
      <c r="D492" s="6"/>
      <c r="E492" s="9"/>
      <c r="F492" s="6"/>
      <c r="G492" s="6"/>
      <c r="H492" s="6"/>
      <c r="I492" s="6"/>
      <c r="J492" s="6"/>
      <c r="K492" s="6"/>
      <c r="L492" s="6"/>
      <c r="M492" s="6"/>
      <c r="N492" s="6"/>
      <c r="O492" s="6"/>
      <c r="P492" s="6"/>
      <c r="Q492" s="6"/>
      <c r="R492" s="6"/>
      <c r="S492" s="6"/>
      <c r="T492" s="6"/>
      <c r="U492" s="6"/>
      <c r="V492" s="6"/>
      <c r="W492" s="6"/>
      <c r="X492" s="6"/>
      <c r="Y492" s="6"/>
      <c r="Z492" s="6"/>
    </row>
    <row r="493">
      <c r="A493" s="9"/>
      <c r="B493" s="9"/>
      <c r="C493" s="9"/>
      <c r="D493" s="6"/>
      <c r="E493" s="9"/>
      <c r="F493" s="6"/>
      <c r="G493" s="6"/>
      <c r="H493" s="6"/>
      <c r="I493" s="6"/>
      <c r="J493" s="6"/>
      <c r="K493" s="6"/>
      <c r="L493" s="6"/>
      <c r="M493" s="6"/>
      <c r="N493" s="6"/>
      <c r="O493" s="6"/>
      <c r="P493" s="6"/>
      <c r="Q493" s="6"/>
      <c r="R493" s="6"/>
      <c r="S493" s="6"/>
      <c r="T493" s="6"/>
      <c r="U493" s="6"/>
      <c r="V493" s="6"/>
      <c r="W493" s="6"/>
      <c r="X493" s="6"/>
      <c r="Y493" s="6"/>
      <c r="Z493" s="6"/>
    </row>
    <row r="494">
      <c r="A494" s="9"/>
      <c r="B494" s="9"/>
      <c r="C494" s="9"/>
      <c r="D494" s="6"/>
      <c r="E494" s="9"/>
      <c r="F494" s="6"/>
      <c r="G494" s="6"/>
      <c r="H494" s="6"/>
      <c r="I494" s="6"/>
      <c r="J494" s="6"/>
      <c r="K494" s="6"/>
      <c r="L494" s="6"/>
      <c r="M494" s="6"/>
      <c r="N494" s="6"/>
      <c r="O494" s="6"/>
      <c r="P494" s="6"/>
      <c r="Q494" s="6"/>
      <c r="R494" s="6"/>
      <c r="S494" s="6"/>
      <c r="T494" s="6"/>
      <c r="U494" s="6"/>
      <c r="V494" s="6"/>
      <c r="W494" s="6"/>
      <c r="X494" s="6"/>
      <c r="Y494" s="6"/>
      <c r="Z494" s="6"/>
    </row>
    <row r="495">
      <c r="A495" s="9"/>
      <c r="B495" s="9"/>
      <c r="C495" s="9"/>
      <c r="D495" s="6"/>
      <c r="E495" s="9"/>
      <c r="F495" s="6"/>
      <c r="G495" s="6"/>
      <c r="H495" s="6"/>
      <c r="I495" s="6"/>
      <c r="J495" s="6"/>
      <c r="K495" s="6"/>
      <c r="L495" s="6"/>
      <c r="M495" s="6"/>
      <c r="N495" s="6"/>
      <c r="O495" s="6"/>
      <c r="P495" s="6"/>
      <c r="Q495" s="6"/>
      <c r="R495" s="6"/>
      <c r="S495" s="6"/>
      <c r="T495" s="6"/>
      <c r="U495" s="6"/>
      <c r="V495" s="6"/>
      <c r="W495" s="6"/>
      <c r="X495" s="6"/>
      <c r="Y495" s="6"/>
      <c r="Z495" s="6"/>
    </row>
    <row r="496">
      <c r="A496" s="9"/>
      <c r="B496" s="9"/>
      <c r="C496" s="9"/>
      <c r="D496" s="6"/>
      <c r="E496" s="9"/>
      <c r="F496" s="6"/>
      <c r="G496" s="6"/>
      <c r="H496" s="6"/>
      <c r="I496" s="6"/>
      <c r="J496" s="6"/>
      <c r="K496" s="6"/>
      <c r="L496" s="6"/>
      <c r="M496" s="6"/>
      <c r="N496" s="6"/>
      <c r="O496" s="6"/>
      <c r="P496" s="6"/>
      <c r="Q496" s="6"/>
      <c r="R496" s="6"/>
      <c r="S496" s="6"/>
      <c r="T496" s="6"/>
      <c r="U496" s="6"/>
      <c r="V496" s="6"/>
      <c r="W496" s="6"/>
      <c r="X496" s="6"/>
      <c r="Y496" s="6"/>
      <c r="Z496" s="6"/>
    </row>
    <row r="497">
      <c r="A497" s="9"/>
      <c r="B497" s="9"/>
      <c r="C497" s="9"/>
      <c r="D497" s="6"/>
      <c r="E497" s="9"/>
      <c r="F497" s="6"/>
      <c r="G497" s="6"/>
      <c r="H497" s="6"/>
      <c r="I497" s="6"/>
      <c r="J497" s="6"/>
      <c r="K497" s="6"/>
      <c r="L497" s="6"/>
      <c r="M497" s="6"/>
      <c r="N497" s="6"/>
      <c r="O497" s="6"/>
      <c r="P497" s="6"/>
      <c r="Q497" s="6"/>
      <c r="R497" s="6"/>
      <c r="S497" s="6"/>
      <c r="T497" s="6"/>
      <c r="U497" s="6"/>
      <c r="V497" s="6"/>
      <c r="W497" s="6"/>
      <c r="X497" s="6"/>
      <c r="Y497" s="6"/>
      <c r="Z497" s="6"/>
    </row>
    <row r="498">
      <c r="A498" s="9"/>
      <c r="B498" s="9"/>
      <c r="C498" s="9"/>
      <c r="D498" s="6"/>
      <c r="E498" s="9"/>
      <c r="F498" s="6"/>
      <c r="G498" s="6"/>
      <c r="H498" s="6"/>
      <c r="I498" s="6"/>
      <c r="J498" s="6"/>
      <c r="K498" s="6"/>
      <c r="L498" s="6"/>
      <c r="M498" s="6"/>
      <c r="N498" s="6"/>
      <c r="O498" s="6"/>
      <c r="P498" s="6"/>
      <c r="Q498" s="6"/>
      <c r="R498" s="6"/>
      <c r="S498" s="6"/>
      <c r="T498" s="6"/>
      <c r="U498" s="6"/>
      <c r="V498" s="6"/>
      <c r="W498" s="6"/>
      <c r="X498" s="6"/>
      <c r="Y498" s="6"/>
      <c r="Z498" s="6"/>
    </row>
    <row r="499">
      <c r="A499" s="9"/>
      <c r="B499" s="9"/>
      <c r="C499" s="9"/>
      <c r="D499" s="6"/>
      <c r="E499" s="9"/>
      <c r="F499" s="6"/>
      <c r="G499" s="6"/>
      <c r="H499" s="6"/>
      <c r="I499" s="6"/>
      <c r="J499" s="6"/>
      <c r="K499" s="6"/>
      <c r="L499" s="6"/>
      <c r="M499" s="6"/>
      <c r="N499" s="6"/>
      <c r="O499" s="6"/>
      <c r="P499" s="6"/>
      <c r="Q499" s="6"/>
      <c r="R499" s="6"/>
      <c r="S499" s="6"/>
      <c r="T499" s="6"/>
      <c r="U499" s="6"/>
      <c r="V499" s="6"/>
      <c r="W499" s="6"/>
      <c r="X499" s="6"/>
      <c r="Y499" s="6"/>
      <c r="Z499" s="6"/>
    </row>
    <row r="500">
      <c r="A500" s="9"/>
      <c r="B500" s="9"/>
      <c r="C500" s="9"/>
      <c r="D500" s="6"/>
      <c r="E500" s="9"/>
      <c r="F500" s="6"/>
      <c r="G500" s="6"/>
      <c r="H500" s="6"/>
      <c r="I500" s="6"/>
      <c r="J500" s="6"/>
      <c r="K500" s="6"/>
      <c r="L500" s="6"/>
      <c r="M500" s="6"/>
      <c r="N500" s="6"/>
      <c r="O500" s="6"/>
      <c r="P500" s="6"/>
      <c r="Q500" s="6"/>
      <c r="R500" s="6"/>
      <c r="S500" s="6"/>
      <c r="T500" s="6"/>
      <c r="U500" s="6"/>
      <c r="V500" s="6"/>
      <c r="W500" s="6"/>
      <c r="X500" s="6"/>
      <c r="Y500" s="6"/>
      <c r="Z500" s="6"/>
    </row>
    <row r="501">
      <c r="A501" s="9"/>
      <c r="B501" s="9"/>
      <c r="C501" s="9"/>
      <c r="D501" s="6"/>
      <c r="E501" s="9"/>
      <c r="F501" s="6"/>
      <c r="G501" s="6"/>
      <c r="H501" s="6"/>
      <c r="I501" s="6"/>
      <c r="J501" s="6"/>
      <c r="K501" s="6"/>
      <c r="L501" s="6"/>
      <c r="M501" s="6"/>
      <c r="N501" s="6"/>
      <c r="O501" s="6"/>
      <c r="P501" s="6"/>
      <c r="Q501" s="6"/>
      <c r="R501" s="6"/>
      <c r="S501" s="6"/>
      <c r="T501" s="6"/>
      <c r="U501" s="6"/>
      <c r="V501" s="6"/>
      <c r="W501" s="6"/>
      <c r="X501" s="6"/>
      <c r="Y501" s="6"/>
      <c r="Z501" s="6"/>
    </row>
    <row r="502">
      <c r="A502" s="9"/>
      <c r="B502" s="9"/>
      <c r="C502" s="9"/>
      <c r="D502" s="6"/>
      <c r="E502" s="9"/>
      <c r="F502" s="6"/>
      <c r="G502" s="6"/>
      <c r="H502" s="6"/>
      <c r="I502" s="6"/>
      <c r="J502" s="6"/>
      <c r="K502" s="6"/>
      <c r="L502" s="6"/>
      <c r="M502" s="6"/>
      <c r="N502" s="6"/>
      <c r="O502" s="6"/>
      <c r="P502" s="6"/>
      <c r="Q502" s="6"/>
      <c r="R502" s="6"/>
      <c r="S502" s="6"/>
      <c r="T502" s="6"/>
      <c r="U502" s="6"/>
      <c r="V502" s="6"/>
      <c r="W502" s="6"/>
      <c r="X502" s="6"/>
      <c r="Y502" s="6"/>
      <c r="Z502" s="6"/>
    </row>
    <row r="503">
      <c r="A503" s="9"/>
      <c r="B503" s="9"/>
      <c r="C503" s="9"/>
      <c r="D503" s="6"/>
      <c r="E503" s="9"/>
      <c r="F503" s="6"/>
      <c r="G503" s="6"/>
      <c r="H503" s="6"/>
      <c r="I503" s="6"/>
      <c r="J503" s="6"/>
      <c r="K503" s="6"/>
      <c r="L503" s="6"/>
      <c r="M503" s="6"/>
      <c r="N503" s="6"/>
      <c r="O503" s="6"/>
      <c r="P503" s="6"/>
      <c r="Q503" s="6"/>
      <c r="R503" s="6"/>
      <c r="S503" s="6"/>
      <c r="T503" s="6"/>
      <c r="U503" s="6"/>
      <c r="V503" s="6"/>
      <c r="W503" s="6"/>
      <c r="X503" s="6"/>
      <c r="Y503" s="6"/>
      <c r="Z503" s="6"/>
    </row>
    <row r="504">
      <c r="A504" s="9"/>
      <c r="B504" s="9"/>
      <c r="C504" s="9"/>
      <c r="D504" s="6"/>
      <c r="E504" s="9"/>
      <c r="F504" s="6"/>
      <c r="G504" s="6"/>
      <c r="H504" s="6"/>
      <c r="I504" s="6"/>
      <c r="J504" s="6"/>
      <c r="K504" s="6"/>
      <c r="L504" s="6"/>
      <c r="M504" s="6"/>
      <c r="N504" s="6"/>
      <c r="O504" s="6"/>
      <c r="P504" s="6"/>
      <c r="Q504" s="6"/>
      <c r="R504" s="6"/>
      <c r="S504" s="6"/>
      <c r="T504" s="6"/>
      <c r="U504" s="6"/>
      <c r="V504" s="6"/>
      <c r="W504" s="6"/>
      <c r="X504" s="6"/>
      <c r="Y504" s="6"/>
      <c r="Z504" s="6"/>
    </row>
    <row r="505">
      <c r="A505" s="9"/>
      <c r="B505" s="9"/>
      <c r="C505" s="9"/>
      <c r="D505" s="6"/>
      <c r="E505" s="9"/>
      <c r="F505" s="6"/>
      <c r="G505" s="6"/>
      <c r="H505" s="6"/>
      <c r="I505" s="6"/>
      <c r="J505" s="6"/>
      <c r="K505" s="6"/>
      <c r="L505" s="6"/>
      <c r="M505" s="6"/>
      <c r="N505" s="6"/>
      <c r="O505" s="6"/>
      <c r="P505" s="6"/>
      <c r="Q505" s="6"/>
      <c r="R505" s="6"/>
      <c r="S505" s="6"/>
      <c r="T505" s="6"/>
      <c r="U505" s="6"/>
      <c r="V505" s="6"/>
      <c r="W505" s="6"/>
      <c r="X505" s="6"/>
      <c r="Y505" s="6"/>
      <c r="Z505" s="6"/>
    </row>
    <row r="506">
      <c r="A506" s="9"/>
      <c r="B506" s="9"/>
      <c r="C506" s="9"/>
      <c r="D506" s="6"/>
      <c r="E506" s="9"/>
      <c r="F506" s="6"/>
      <c r="G506" s="6"/>
      <c r="H506" s="6"/>
      <c r="I506" s="6"/>
      <c r="J506" s="6"/>
      <c r="K506" s="6"/>
      <c r="L506" s="6"/>
      <c r="M506" s="6"/>
      <c r="N506" s="6"/>
      <c r="O506" s="6"/>
      <c r="P506" s="6"/>
      <c r="Q506" s="6"/>
      <c r="R506" s="6"/>
      <c r="S506" s="6"/>
      <c r="T506" s="6"/>
      <c r="U506" s="6"/>
      <c r="V506" s="6"/>
      <c r="W506" s="6"/>
      <c r="X506" s="6"/>
      <c r="Y506" s="6"/>
      <c r="Z506" s="6"/>
    </row>
    <row r="507">
      <c r="A507" s="9"/>
      <c r="B507" s="9"/>
      <c r="C507" s="9"/>
      <c r="D507" s="6"/>
      <c r="E507" s="9"/>
      <c r="F507" s="6"/>
      <c r="G507" s="6"/>
      <c r="H507" s="6"/>
      <c r="I507" s="6"/>
      <c r="J507" s="6"/>
      <c r="K507" s="6"/>
      <c r="L507" s="6"/>
      <c r="M507" s="6"/>
      <c r="N507" s="6"/>
      <c r="O507" s="6"/>
      <c r="P507" s="6"/>
      <c r="Q507" s="6"/>
      <c r="R507" s="6"/>
      <c r="S507" s="6"/>
      <c r="T507" s="6"/>
      <c r="U507" s="6"/>
      <c r="V507" s="6"/>
      <c r="W507" s="6"/>
      <c r="X507" s="6"/>
      <c r="Y507" s="6"/>
      <c r="Z507" s="6"/>
    </row>
    <row r="508">
      <c r="A508" s="9"/>
      <c r="B508" s="9"/>
      <c r="C508" s="9"/>
      <c r="D508" s="6"/>
      <c r="E508" s="9"/>
      <c r="F508" s="6"/>
      <c r="G508" s="6"/>
      <c r="H508" s="6"/>
      <c r="I508" s="6"/>
      <c r="J508" s="6"/>
      <c r="K508" s="6"/>
      <c r="L508" s="6"/>
      <c r="M508" s="6"/>
      <c r="N508" s="6"/>
      <c r="O508" s="6"/>
      <c r="P508" s="6"/>
      <c r="Q508" s="6"/>
      <c r="R508" s="6"/>
      <c r="S508" s="6"/>
      <c r="T508" s="6"/>
      <c r="U508" s="6"/>
      <c r="V508" s="6"/>
      <c r="W508" s="6"/>
      <c r="X508" s="6"/>
      <c r="Y508" s="6"/>
      <c r="Z508" s="6"/>
    </row>
    <row r="509">
      <c r="A509" s="9"/>
      <c r="B509" s="9"/>
      <c r="C509" s="9"/>
      <c r="D509" s="6"/>
      <c r="E509" s="9"/>
      <c r="F509" s="6"/>
      <c r="G509" s="6"/>
      <c r="H509" s="6"/>
      <c r="I509" s="6"/>
      <c r="J509" s="6"/>
      <c r="K509" s="6"/>
      <c r="L509" s="6"/>
      <c r="M509" s="6"/>
      <c r="N509" s="6"/>
      <c r="O509" s="6"/>
      <c r="P509" s="6"/>
      <c r="Q509" s="6"/>
      <c r="R509" s="6"/>
      <c r="S509" s="6"/>
      <c r="T509" s="6"/>
      <c r="U509" s="6"/>
      <c r="V509" s="6"/>
      <c r="W509" s="6"/>
      <c r="X509" s="6"/>
      <c r="Y509" s="6"/>
      <c r="Z509" s="6"/>
    </row>
    <row r="510">
      <c r="A510" s="9"/>
      <c r="B510" s="9"/>
      <c r="C510" s="9"/>
      <c r="D510" s="6"/>
      <c r="E510" s="9"/>
      <c r="F510" s="6"/>
      <c r="G510" s="6"/>
      <c r="H510" s="6"/>
      <c r="I510" s="6"/>
      <c r="J510" s="6"/>
      <c r="K510" s="6"/>
      <c r="L510" s="6"/>
      <c r="M510" s="6"/>
      <c r="N510" s="6"/>
      <c r="O510" s="6"/>
      <c r="P510" s="6"/>
      <c r="Q510" s="6"/>
      <c r="R510" s="6"/>
      <c r="S510" s="6"/>
      <c r="T510" s="6"/>
      <c r="U510" s="6"/>
      <c r="V510" s="6"/>
      <c r="W510" s="6"/>
      <c r="X510" s="6"/>
      <c r="Y510" s="6"/>
      <c r="Z510" s="6"/>
    </row>
    <row r="511">
      <c r="A511" s="9"/>
      <c r="B511" s="9"/>
      <c r="C511" s="9"/>
      <c r="D511" s="6"/>
      <c r="E511" s="9"/>
      <c r="F511" s="6"/>
      <c r="G511" s="6"/>
      <c r="H511" s="6"/>
      <c r="I511" s="6"/>
      <c r="J511" s="6"/>
      <c r="K511" s="6"/>
      <c r="L511" s="6"/>
      <c r="M511" s="6"/>
      <c r="N511" s="6"/>
      <c r="O511" s="6"/>
      <c r="P511" s="6"/>
      <c r="Q511" s="6"/>
      <c r="R511" s="6"/>
      <c r="S511" s="6"/>
      <c r="T511" s="6"/>
      <c r="U511" s="6"/>
      <c r="V511" s="6"/>
      <c r="W511" s="6"/>
      <c r="X511" s="6"/>
      <c r="Y511" s="6"/>
      <c r="Z511" s="6"/>
    </row>
    <row r="512">
      <c r="A512" s="9"/>
      <c r="B512" s="9"/>
      <c r="C512" s="9"/>
      <c r="D512" s="6"/>
      <c r="E512" s="9"/>
      <c r="F512" s="6"/>
      <c r="G512" s="6"/>
      <c r="H512" s="6"/>
      <c r="I512" s="6"/>
      <c r="J512" s="6"/>
      <c r="K512" s="6"/>
      <c r="L512" s="6"/>
      <c r="M512" s="6"/>
      <c r="N512" s="6"/>
      <c r="O512" s="6"/>
      <c r="P512" s="6"/>
      <c r="Q512" s="6"/>
      <c r="R512" s="6"/>
      <c r="S512" s="6"/>
      <c r="T512" s="6"/>
      <c r="U512" s="6"/>
      <c r="V512" s="6"/>
      <c r="W512" s="6"/>
      <c r="X512" s="6"/>
      <c r="Y512" s="6"/>
      <c r="Z512" s="6"/>
    </row>
    <row r="513">
      <c r="A513" s="9"/>
      <c r="B513" s="9"/>
      <c r="C513" s="9"/>
      <c r="D513" s="6"/>
      <c r="E513" s="9"/>
      <c r="F513" s="6"/>
      <c r="G513" s="6"/>
      <c r="H513" s="6"/>
      <c r="I513" s="6"/>
      <c r="J513" s="6"/>
      <c r="K513" s="6"/>
      <c r="L513" s="6"/>
      <c r="M513" s="6"/>
      <c r="N513" s="6"/>
      <c r="O513" s="6"/>
      <c r="P513" s="6"/>
      <c r="Q513" s="6"/>
      <c r="R513" s="6"/>
      <c r="S513" s="6"/>
      <c r="T513" s="6"/>
      <c r="U513" s="6"/>
      <c r="V513" s="6"/>
      <c r="W513" s="6"/>
      <c r="X513" s="6"/>
      <c r="Y513" s="6"/>
      <c r="Z513" s="6"/>
    </row>
    <row r="514">
      <c r="A514" s="9"/>
      <c r="B514" s="9"/>
      <c r="C514" s="9"/>
      <c r="D514" s="6"/>
      <c r="E514" s="9"/>
      <c r="F514" s="6"/>
      <c r="G514" s="6"/>
      <c r="H514" s="6"/>
      <c r="I514" s="6"/>
      <c r="J514" s="6"/>
      <c r="K514" s="6"/>
      <c r="L514" s="6"/>
      <c r="M514" s="6"/>
      <c r="N514" s="6"/>
      <c r="O514" s="6"/>
      <c r="P514" s="6"/>
      <c r="Q514" s="6"/>
      <c r="R514" s="6"/>
      <c r="S514" s="6"/>
      <c r="T514" s="6"/>
      <c r="U514" s="6"/>
      <c r="V514" s="6"/>
      <c r="W514" s="6"/>
      <c r="X514" s="6"/>
      <c r="Y514" s="6"/>
      <c r="Z514" s="6"/>
    </row>
    <row r="515">
      <c r="A515" s="9"/>
      <c r="B515" s="9"/>
      <c r="C515" s="9"/>
      <c r="D515" s="6"/>
      <c r="E515" s="9"/>
      <c r="F515" s="6"/>
      <c r="G515" s="6"/>
      <c r="H515" s="6"/>
      <c r="I515" s="6"/>
      <c r="J515" s="6"/>
      <c r="K515" s="6"/>
      <c r="L515" s="6"/>
      <c r="M515" s="6"/>
      <c r="N515" s="6"/>
      <c r="O515" s="6"/>
      <c r="P515" s="6"/>
      <c r="Q515" s="6"/>
      <c r="R515" s="6"/>
      <c r="S515" s="6"/>
      <c r="T515" s="6"/>
      <c r="U515" s="6"/>
      <c r="V515" s="6"/>
      <c r="W515" s="6"/>
      <c r="X515" s="6"/>
      <c r="Y515" s="6"/>
      <c r="Z515" s="6"/>
    </row>
    <row r="516">
      <c r="A516" s="9"/>
      <c r="B516" s="9"/>
      <c r="C516" s="9"/>
      <c r="D516" s="6"/>
      <c r="E516" s="9"/>
      <c r="F516" s="6"/>
      <c r="G516" s="6"/>
      <c r="H516" s="6"/>
      <c r="I516" s="6"/>
      <c r="J516" s="6"/>
      <c r="K516" s="6"/>
      <c r="L516" s="6"/>
      <c r="M516" s="6"/>
      <c r="N516" s="6"/>
      <c r="O516" s="6"/>
      <c r="P516" s="6"/>
      <c r="Q516" s="6"/>
      <c r="R516" s="6"/>
      <c r="S516" s="6"/>
      <c r="T516" s="6"/>
      <c r="U516" s="6"/>
      <c r="V516" s="6"/>
      <c r="W516" s="6"/>
      <c r="X516" s="6"/>
      <c r="Y516" s="6"/>
      <c r="Z516" s="6"/>
    </row>
    <row r="517">
      <c r="A517" s="9"/>
      <c r="B517" s="9"/>
      <c r="C517" s="9"/>
      <c r="D517" s="6"/>
      <c r="E517" s="9"/>
      <c r="F517" s="6"/>
      <c r="G517" s="6"/>
      <c r="H517" s="6"/>
      <c r="I517" s="6"/>
      <c r="J517" s="6"/>
      <c r="K517" s="6"/>
      <c r="L517" s="6"/>
      <c r="M517" s="6"/>
      <c r="N517" s="6"/>
      <c r="O517" s="6"/>
      <c r="P517" s="6"/>
      <c r="Q517" s="6"/>
      <c r="R517" s="6"/>
      <c r="S517" s="6"/>
      <c r="T517" s="6"/>
      <c r="U517" s="6"/>
      <c r="V517" s="6"/>
      <c r="W517" s="6"/>
      <c r="X517" s="6"/>
      <c r="Y517" s="6"/>
      <c r="Z517" s="6"/>
    </row>
    <row r="518">
      <c r="A518" s="9"/>
      <c r="B518" s="9"/>
      <c r="C518" s="9"/>
      <c r="D518" s="6"/>
      <c r="E518" s="9"/>
      <c r="F518" s="6"/>
      <c r="G518" s="6"/>
      <c r="H518" s="6"/>
      <c r="I518" s="6"/>
      <c r="J518" s="6"/>
      <c r="K518" s="6"/>
      <c r="L518" s="6"/>
      <c r="M518" s="6"/>
      <c r="N518" s="6"/>
      <c r="O518" s="6"/>
      <c r="P518" s="6"/>
      <c r="Q518" s="6"/>
      <c r="R518" s="6"/>
      <c r="S518" s="6"/>
      <c r="T518" s="6"/>
      <c r="U518" s="6"/>
      <c r="V518" s="6"/>
      <c r="W518" s="6"/>
      <c r="X518" s="6"/>
      <c r="Y518" s="6"/>
      <c r="Z518" s="6"/>
    </row>
    <row r="519">
      <c r="A519" s="9"/>
      <c r="B519" s="9"/>
      <c r="C519" s="9"/>
      <c r="D519" s="6"/>
      <c r="E519" s="9"/>
      <c r="F519" s="6"/>
      <c r="G519" s="6"/>
      <c r="H519" s="6"/>
      <c r="I519" s="6"/>
      <c r="J519" s="6"/>
      <c r="K519" s="6"/>
      <c r="L519" s="6"/>
      <c r="M519" s="6"/>
      <c r="N519" s="6"/>
      <c r="O519" s="6"/>
      <c r="P519" s="6"/>
      <c r="Q519" s="6"/>
      <c r="R519" s="6"/>
      <c r="S519" s="6"/>
      <c r="T519" s="6"/>
      <c r="U519" s="6"/>
      <c r="V519" s="6"/>
      <c r="W519" s="6"/>
      <c r="X519" s="6"/>
      <c r="Y519" s="6"/>
      <c r="Z519" s="6"/>
    </row>
    <row r="520">
      <c r="A520" s="9"/>
      <c r="B520" s="9"/>
      <c r="C520" s="9"/>
      <c r="D520" s="6"/>
      <c r="E520" s="9"/>
      <c r="F520" s="6"/>
      <c r="G520" s="6"/>
      <c r="H520" s="6"/>
      <c r="I520" s="6"/>
      <c r="J520" s="6"/>
      <c r="K520" s="6"/>
      <c r="L520" s="6"/>
      <c r="M520" s="6"/>
      <c r="N520" s="6"/>
      <c r="O520" s="6"/>
      <c r="P520" s="6"/>
      <c r="Q520" s="6"/>
      <c r="R520" s="6"/>
      <c r="S520" s="6"/>
      <c r="T520" s="6"/>
      <c r="U520" s="6"/>
      <c r="V520" s="6"/>
      <c r="W520" s="6"/>
      <c r="X520" s="6"/>
      <c r="Y520" s="6"/>
      <c r="Z520" s="6"/>
    </row>
    <row r="521">
      <c r="A521" s="9"/>
      <c r="B521" s="9"/>
      <c r="C521" s="9"/>
      <c r="D521" s="6"/>
      <c r="E521" s="9"/>
      <c r="F521" s="6"/>
      <c r="G521" s="6"/>
      <c r="H521" s="6"/>
      <c r="I521" s="6"/>
      <c r="J521" s="6"/>
      <c r="K521" s="6"/>
      <c r="L521" s="6"/>
      <c r="M521" s="6"/>
      <c r="N521" s="6"/>
      <c r="O521" s="6"/>
      <c r="P521" s="6"/>
      <c r="Q521" s="6"/>
      <c r="R521" s="6"/>
      <c r="S521" s="6"/>
      <c r="T521" s="6"/>
      <c r="U521" s="6"/>
      <c r="V521" s="6"/>
      <c r="W521" s="6"/>
      <c r="X521" s="6"/>
      <c r="Y521" s="6"/>
      <c r="Z521" s="6"/>
    </row>
    <row r="522">
      <c r="A522" s="9"/>
      <c r="B522" s="9"/>
      <c r="C522" s="9"/>
      <c r="D522" s="6"/>
      <c r="E522" s="9"/>
      <c r="F522" s="6"/>
      <c r="G522" s="6"/>
      <c r="H522" s="6"/>
      <c r="I522" s="6"/>
      <c r="J522" s="6"/>
      <c r="K522" s="6"/>
      <c r="L522" s="6"/>
      <c r="M522" s="6"/>
      <c r="N522" s="6"/>
      <c r="O522" s="6"/>
      <c r="P522" s="6"/>
      <c r="Q522" s="6"/>
      <c r="R522" s="6"/>
      <c r="S522" s="6"/>
      <c r="T522" s="6"/>
      <c r="U522" s="6"/>
      <c r="V522" s="6"/>
      <c r="W522" s="6"/>
      <c r="X522" s="6"/>
      <c r="Y522" s="6"/>
      <c r="Z522" s="6"/>
    </row>
    <row r="523">
      <c r="A523" s="9"/>
      <c r="B523" s="9"/>
      <c r="C523" s="9"/>
      <c r="D523" s="6"/>
      <c r="E523" s="9"/>
      <c r="F523" s="6"/>
      <c r="G523" s="6"/>
      <c r="H523" s="6"/>
      <c r="I523" s="6"/>
      <c r="J523" s="6"/>
      <c r="K523" s="6"/>
      <c r="L523" s="6"/>
      <c r="M523" s="6"/>
      <c r="N523" s="6"/>
      <c r="O523" s="6"/>
      <c r="P523" s="6"/>
      <c r="Q523" s="6"/>
      <c r="R523" s="6"/>
      <c r="S523" s="6"/>
      <c r="T523" s="6"/>
      <c r="U523" s="6"/>
      <c r="V523" s="6"/>
      <c r="W523" s="6"/>
      <c r="X523" s="6"/>
      <c r="Y523" s="6"/>
      <c r="Z523" s="6"/>
    </row>
    <row r="524">
      <c r="A524" s="9"/>
      <c r="B524" s="9"/>
      <c r="C524" s="9"/>
      <c r="D524" s="6"/>
      <c r="E524" s="9"/>
      <c r="F524" s="6"/>
      <c r="G524" s="6"/>
      <c r="H524" s="6"/>
      <c r="I524" s="6"/>
      <c r="J524" s="6"/>
      <c r="K524" s="6"/>
      <c r="L524" s="6"/>
      <c r="M524" s="6"/>
      <c r="N524" s="6"/>
      <c r="O524" s="6"/>
      <c r="P524" s="6"/>
      <c r="Q524" s="6"/>
      <c r="R524" s="6"/>
      <c r="S524" s="6"/>
      <c r="T524" s="6"/>
      <c r="U524" s="6"/>
      <c r="V524" s="6"/>
      <c r="W524" s="6"/>
      <c r="X524" s="6"/>
      <c r="Y524" s="6"/>
      <c r="Z524" s="6"/>
    </row>
    <row r="525">
      <c r="A525" s="9"/>
      <c r="B525" s="9"/>
      <c r="C525" s="9"/>
      <c r="D525" s="6"/>
      <c r="E525" s="9"/>
      <c r="F525" s="6"/>
      <c r="G525" s="6"/>
      <c r="H525" s="6"/>
      <c r="I525" s="6"/>
      <c r="J525" s="6"/>
      <c r="K525" s="6"/>
      <c r="L525" s="6"/>
      <c r="M525" s="6"/>
      <c r="N525" s="6"/>
      <c r="O525" s="6"/>
      <c r="P525" s="6"/>
      <c r="Q525" s="6"/>
      <c r="R525" s="6"/>
      <c r="S525" s="6"/>
      <c r="T525" s="6"/>
      <c r="U525" s="6"/>
      <c r="V525" s="6"/>
      <c r="W525" s="6"/>
      <c r="X525" s="6"/>
      <c r="Y525" s="6"/>
      <c r="Z525" s="6"/>
    </row>
    <row r="526">
      <c r="A526" s="9"/>
      <c r="B526" s="9"/>
      <c r="C526" s="9"/>
      <c r="D526" s="6"/>
      <c r="E526" s="9"/>
      <c r="F526" s="6"/>
      <c r="G526" s="6"/>
      <c r="H526" s="6"/>
      <c r="I526" s="6"/>
      <c r="J526" s="6"/>
      <c r="K526" s="6"/>
      <c r="L526" s="6"/>
      <c r="M526" s="6"/>
      <c r="N526" s="6"/>
      <c r="O526" s="6"/>
      <c r="P526" s="6"/>
      <c r="Q526" s="6"/>
      <c r="R526" s="6"/>
      <c r="S526" s="6"/>
      <c r="T526" s="6"/>
      <c r="U526" s="6"/>
      <c r="V526" s="6"/>
      <c r="W526" s="6"/>
      <c r="X526" s="6"/>
      <c r="Y526" s="6"/>
      <c r="Z526" s="6"/>
    </row>
    <row r="527">
      <c r="A527" s="9"/>
      <c r="B527" s="9"/>
      <c r="C527" s="9"/>
      <c r="D527" s="6"/>
      <c r="E527" s="9"/>
      <c r="F527" s="6"/>
      <c r="G527" s="6"/>
      <c r="H527" s="6"/>
      <c r="I527" s="6"/>
      <c r="J527" s="6"/>
      <c r="K527" s="6"/>
      <c r="L527" s="6"/>
      <c r="M527" s="6"/>
      <c r="N527" s="6"/>
      <c r="O527" s="6"/>
      <c r="P527" s="6"/>
      <c r="Q527" s="6"/>
      <c r="R527" s="6"/>
      <c r="S527" s="6"/>
      <c r="T527" s="6"/>
      <c r="U527" s="6"/>
      <c r="V527" s="6"/>
      <c r="W527" s="6"/>
      <c r="X527" s="6"/>
      <c r="Y527" s="6"/>
      <c r="Z527" s="6"/>
    </row>
    <row r="528">
      <c r="A528" s="9"/>
      <c r="B528" s="9"/>
      <c r="C528" s="9"/>
      <c r="D528" s="6"/>
      <c r="E528" s="9"/>
      <c r="F528" s="6"/>
      <c r="G528" s="6"/>
      <c r="H528" s="6"/>
      <c r="I528" s="6"/>
      <c r="J528" s="6"/>
      <c r="K528" s="6"/>
      <c r="L528" s="6"/>
      <c r="M528" s="6"/>
      <c r="N528" s="6"/>
      <c r="O528" s="6"/>
      <c r="P528" s="6"/>
      <c r="Q528" s="6"/>
      <c r="R528" s="6"/>
      <c r="S528" s="6"/>
      <c r="T528" s="6"/>
      <c r="U528" s="6"/>
      <c r="V528" s="6"/>
      <c r="W528" s="6"/>
      <c r="X528" s="6"/>
      <c r="Y528" s="6"/>
      <c r="Z528" s="6"/>
    </row>
    <row r="529">
      <c r="A529" s="9"/>
      <c r="B529" s="9"/>
      <c r="C529" s="9"/>
      <c r="D529" s="6"/>
      <c r="E529" s="9"/>
      <c r="F529" s="6"/>
      <c r="G529" s="6"/>
      <c r="H529" s="6"/>
      <c r="I529" s="6"/>
      <c r="J529" s="6"/>
      <c r="K529" s="6"/>
      <c r="L529" s="6"/>
      <c r="M529" s="6"/>
      <c r="N529" s="6"/>
      <c r="O529" s="6"/>
      <c r="P529" s="6"/>
      <c r="Q529" s="6"/>
      <c r="R529" s="6"/>
      <c r="S529" s="6"/>
      <c r="T529" s="6"/>
      <c r="U529" s="6"/>
      <c r="V529" s="6"/>
      <c r="W529" s="6"/>
      <c r="X529" s="6"/>
      <c r="Y529" s="6"/>
      <c r="Z529" s="6"/>
    </row>
    <row r="530">
      <c r="A530" s="9"/>
      <c r="B530" s="9"/>
      <c r="C530" s="9"/>
      <c r="D530" s="6"/>
      <c r="E530" s="9"/>
      <c r="F530" s="6"/>
      <c r="G530" s="6"/>
      <c r="H530" s="6"/>
      <c r="I530" s="6"/>
      <c r="J530" s="6"/>
      <c r="K530" s="6"/>
      <c r="L530" s="6"/>
      <c r="M530" s="6"/>
      <c r="N530" s="6"/>
      <c r="O530" s="6"/>
      <c r="P530" s="6"/>
      <c r="Q530" s="6"/>
      <c r="R530" s="6"/>
      <c r="S530" s="6"/>
      <c r="T530" s="6"/>
      <c r="U530" s="6"/>
      <c r="V530" s="6"/>
      <c r="W530" s="6"/>
      <c r="X530" s="6"/>
      <c r="Y530" s="6"/>
      <c r="Z530" s="6"/>
    </row>
    <row r="531">
      <c r="A531" s="9"/>
      <c r="B531" s="9"/>
      <c r="C531" s="9"/>
      <c r="D531" s="6"/>
      <c r="E531" s="9"/>
      <c r="F531" s="6"/>
      <c r="G531" s="6"/>
      <c r="H531" s="6"/>
      <c r="I531" s="6"/>
      <c r="J531" s="6"/>
      <c r="K531" s="6"/>
      <c r="L531" s="6"/>
      <c r="M531" s="6"/>
      <c r="N531" s="6"/>
      <c r="O531" s="6"/>
      <c r="P531" s="6"/>
      <c r="Q531" s="6"/>
      <c r="R531" s="6"/>
      <c r="S531" s="6"/>
      <c r="T531" s="6"/>
      <c r="U531" s="6"/>
      <c r="V531" s="6"/>
      <c r="W531" s="6"/>
      <c r="X531" s="6"/>
      <c r="Y531" s="6"/>
      <c r="Z531" s="6"/>
    </row>
    <row r="532">
      <c r="A532" s="9"/>
      <c r="B532" s="9"/>
      <c r="C532" s="9"/>
      <c r="D532" s="6"/>
      <c r="E532" s="9"/>
      <c r="F532" s="6"/>
      <c r="G532" s="6"/>
      <c r="H532" s="6"/>
      <c r="I532" s="6"/>
      <c r="J532" s="6"/>
      <c r="K532" s="6"/>
      <c r="L532" s="6"/>
      <c r="M532" s="6"/>
      <c r="N532" s="6"/>
      <c r="O532" s="6"/>
      <c r="P532" s="6"/>
      <c r="Q532" s="6"/>
      <c r="R532" s="6"/>
      <c r="S532" s="6"/>
      <c r="T532" s="6"/>
      <c r="U532" s="6"/>
      <c r="V532" s="6"/>
      <c r="W532" s="6"/>
      <c r="X532" s="6"/>
      <c r="Y532" s="6"/>
      <c r="Z532" s="6"/>
    </row>
    <row r="533">
      <c r="A533" s="9"/>
      <c r="B533" s="9"/>
      <c r="C533" s="9"/>
      <c r="D533" s="6"/>
      <c r="E533" s="9"/>
      <c r="F533" s="6"/>
      <c r="G533" s="6"/>
      <c r="H533" s="6"/>
      <c r="I533" s="6"/>
      <c r="J533" s="6"/>
      <c r="K533" s="6"/>
      <c r="L533" s="6"/>
      <c r="M533" s="6"/>
      <c r="N533" s="6"/>
      <c r="O533" s="6"/>
      <c r="P533" s="6"/>
      <c r="Q533" s="6"/>
      <c r="R533" s="6"/>
      <c r="S533" s="6"/>
      <c r="T533" s="6"/>
      <c r="U533" s="6"/>
      <c r="V533" s="6"/>
      <c r="W533" s="6"/>
      <c r="X533" s="6"/>
      <c r="Y533" s="6"/>
      <c r="Z533" s="6"/>
    </row>
    <row r="534">
      <c r="A534" s="9"/>
      <c r="B534" s="9"/>
      <c r="C534" s="9"/>
      <c r="D534" s="6"/>
      <c r="E534" s="9"/>
      <c r="F534" s="6"/>
      <c r="G534" s="6"/>
      <c r="H534" s="6"/>
      <c r="I534" s="6"/>
      <c r="J534" s="6"/>
      <c r="K534" s="6"/>
      <c r="L534" s="6"/>
      <c r="M534" s="6"/>
      <c r="N534" s="6"/>
      <c r="O534" s="6"/>
      <c r="P534" s="6"/>
      <c r="Q534" s="6"/>
      <c r="R534" s="6"/>
      <c r="S534" s="6"/>
      <c r="T534" s="6"/>
      <c r="U534" s="6"/>
      <c r="V534" s="6"/>
      <c r="W534" s="6"/>
      <c r="X534" s="6"/>
      <c r="Y534" s="6"/>
      <c r="Z534" s="6"/>
    </row>
    <row r="535">
      <c r="A535" s="9"/>
      <c r="B535" s="9"/>
      <c r="C535" s="9"/>
      <c r="D535" s="6"/>
      <c r="E535" s="9"/>
      <c r="F535" s="6"/>
      <c r="G535" s="6"/>
      <c r="H535" s="6"/>
      <c r="I535" s="6"/>
      <c r="J535" s="6"/>
      <c r="K535" s="6"/>
      <c r="L535" s="6"/>
      <c r="M535" s="6"/>
      <c r="N535" s="6"/>
      <c r="O535" s="6"/>
      <c r="P535" s="6"/>
      <c r="Q535" s="6"/>
      <c r="R535" s="6"/>
      <c r="S535" s="6"/>
      <c r="T535" s="6"/>
      <c r="U535" s="6"/>
      <c r="V535" s="6"/>
      <c r="W535" s="6"/>
      <c r="X535" s="6"/>
      <c r="Y535" s="6"/>
      <c r="Z535" s="6"/>
    </row>
    <row r="536">
      <c r="A536" s="9"/>
      <c r="B536" s="9"/>
      <c r="C536" s="9"/>
      <c r="D536" s="6"/>
      <c r="E536" s="9"/>
      <c r="F536" s="6"/>
      <c r="G536" s="6"/>
      <c r="H536" s="6"/>
      <c r="I536" s="6"/>
      <c r="J536" s="6"/>
      <c r="K536" s="6"/>
      <c r="L536" s="6"/>
      <c r="M536" s="6"/>
      <c r="N536" s="6"/>
      <c r="O536" s="6"/>
      <c r="P536" s="6"/>
      <c r="Q536" s="6"/>
      <c r="R536" s="6"/>
      <c r="S536" s="6"/>
      <c r="T536" s="6"/>
      <c r="U536" s="6"/>
      <c r="V536" s="6"/>
      <c r="W536" s="6"/>
      <c r="X536" s="6"/>
      <c r="Y536" s="6"/>
      <c r="Z536" s="6"/>
    </row>
    <row r="537">
      <c r="A537" s="9"/>
      <c r="B537" s="9"/>
      <c r="C537" s="9"/>
      <c r="D537" s="6"/>
      <c r="E537" s="9"/>
      <c r="F537" s="6"/>
      <c r="G537" s="6"/>
      <c r="H537" s="6"/>
      <c r="I537" s="6"/>
      <c r="J537" s="6"/>
      <c r="K537" s="6"/>
      <c r="L537" s="6"/>
      <c r="M537" s="6"/>
      <c r="N537" s="6"/>
      <c r="O537" s="6"/>
      <c r="P537" s="6"/>
      <c r="Q537" s="6"/>
      <c r="R537" s="6"/>
      <c r="S537" s="6"/>
      <c r="T537" s="6"/>
      <c r="U537" s="6"/>
      <c r="V537" s="6"/>
      <c r="W537" s="6"/>
      <c r="X537" s="6"/>
      <c r="Y537" s="6"/>
      <c r="Z537" s="6"/>
    </row>
    <row r="538">
      <c r="A538" s="9"/>
      <c r="B538" s="9"/>
      <c r="C538" s="9"/>
      <c r="D538" s="6"/>
      <c r="E538" s="9"/>
      <c r="F538" s="6"/>
      <c r="G538" s="6"/>
      <c r="H538" s="6"/>
      <c r="I538" s="6"/>
      <c r="J538" s="6"/>
      <c r="K538" s="6"/>
      <c r="L538" s="6"/>
      <c r="M538" s="6"/>
      <c r="N538" s="6"/>
      <c r="O538" s="6"/>
      <c r="P538" s="6"/>
      <c r="Q538" s="6"/>
      <c r="R538" s="6"/>
      <c r="S538" s="6"/>
      <c r="T538" s="6"/>
      <c r="U538" s="6"/>
      <c r="V538" s="6"/>
      <c r="W538" s="6"/>
      <c r="X538" s="6"/>
      <c r="Y538" s="6"/>
      <c r="Z538" s="6"/>
    </row>
    <row r="539">
      <c r="A539" s="9"/>
      <c r="B539" s="9"/>
      <c r="C539" s="9"/>
      <c r="D539" s="6"/>
      <c r="E539" s="9"/>
      <c r="F539" s="6"/>
      <c r="G539" s="6"/>
      <c r="H539" s="6"/>
      <c r="I539" s="6"/>
      <c r="J539" s="6"/>
      <c r="K539" s="6"/>
      <c r="L539" s="6"/>
      <c r="M539" s="6"/>
      <c r="N539" s="6"/>
      <c r="O539" s="6"/>
      <c r="P539" s="6"/>
      <c r="Q539" s="6"/>
      <c r="R539" s="6"/>
      <c r="S539" s="6"/>
      <c r="T539" s="6"/>
      <c r="U539" s="6"/>
      <c r="V539" s="6"/>
      <c r="W539" s="6"/>
      <c r="X539" s="6"/>
      <c r="Y539" s="6"/>
      <c r="Z539" s="6"/>
    </row>
    <row r="540">
      <c r="A540" s="9"/>
      <c r="B540" s="9"/>
      <c r="C540" s="9"/>
      <c r="D540" s="6"/>
      <c r="E540" s="9"/>
      <c r="F540" s="6"/>
      <c r="G540" s="6"/>
      <c r="H540" s="6"/>
      <c r="I540" s="6"/>
      <c r="J540" s="6"/>
      <c r="K540" s="6"/>
      <c r="L540" s="6"/>
      <c r="M540" s="6"/>
      <c r="N540" s="6"/>
      <c r="O540" s="6"/>
      <c r="P540" s="6"/>
      <c r="Q540" s="6"/>
      <c r="R540" s="6"/>
      <c r="S540" s="6"/>
      <c r="T540" s="6"/>
      <c r="U540" s="6"/>
      <c r="V540" s="6"/>
      <c r="W540" s="6"/>
      <c r="X540" s="6"/>
      <c r="Y540" s="6"/>
      <c r="Z540" s="6"/>
    </row>
    <row r="541">
      <c r="A541" s="9"/>
      <c r="B541" s="9"/>
      <c r="C541" s="9"/>
      <c r="D541" s="6"/>
      <c r="E541" s="9"/>
      <c r="F541" s="6"/>
      <c r="G541" s="6"/>
      <c r="H541" s="6"/>
      <c r="I541" s="6"/>
      <c r="J541" s="6"/>
      <c r="K541" s="6"/>
      <c r="L541" s="6"/>
      <c r="M541" s="6"/>
      <c r="N541" s="6"/>
      <c r="O541" s="6"/>
      <c r="P541" s="6"/>
      <c r="Q541" s="6"/>
      <c r="R541" s="6"/>
      <c r="S541" s="6"/>
      <c r="T541" s="6"/>
      <c r="U541" s="6"/>
      <c r="V541" s="6"/>
      <c r="W541" s="6"/>
      <c r="X541" s="6"/>
      <c r="Y541" s="6"/>
      <c r="Z541" s="6"/>
    </row>
    <row r="542">
      <c r="A542" s="9"/>
      <c r="B542" s="9"/>
      <c r="C542" s="9"/>
      <c r="D542" s="6"/>
      <c r="E542" s="9"/>
      <c r="F542" s="6"/>
      <c r="G542" s="6"/>
      <c r="H542" s="6"/>
      <c r="I542" s="6"/>
      <c r="J542" s="6"/>
      <c r="K542" s="6"/>
      <c r="L542" s="6"/>
      <c r="M542" s="6"/>
      <c r="N542" s="6"/>
      <c r="O542" s="6"/>
      <c r="P542" s="6"/>
      <c r="Q542" s="6"/>
      <c r="R542" s="6"/>
      <c r="S542" s="6"/>
      <c r="T542" s="6"/>
      <c r="U542" s="6"/>
      <c r="V542" s="6"/>
      <c r="W542" s="6"/>
      <c r="X542" s="6"/>
      <c r="Y542" s="6"/>
      <c r="Z542" s="6"/>
    </row>
    <row r="543">
      <c r="A543" s="9"/>
      <c r="B543" s="9"/>
      <c r="C543" s="9"/>
      <c r="D543" s="6"/>
      <c r="E543" s="9"/>
      <c r="F543" s="6"/>
      <c r="G543" s="6"/>
      <c r="H543" s="6"/>
      <c r="I543" s="6"/>
      <c r="J543" s="6"/>
      <c r="K543" s="6"/>
      <c r="L543" s="6"/>
      <c r="M543" s="6"/>
      <c r="N543" s="6"/>
      <c r="O543" s="6"/>
      <c r="P543" s="6"/>
      <c r="Q543" s="6"/>
      <c r="R543" s="6"/>
      <c r="S543" s="6"/>
      <c r="T543" s="6"/>
      <c r="U543" s="6"/>
      <c r="V543" s="6"/>
      <c r="W543" s="6"/>
      <c r="X543" s="6"/>
      <c r="Y543" s="6"/>
      <c r="Z543" s="6"/>
    </row>
    <row r="544">
      <c r="A544" s="9"/>
      <c r="B544" s="9"/>
      <c r="C544" s="9"/>
      <c r="D544" s="6"/>
      <c r="E544" s="9"/>
      <c r="F544" s="6"/>
      <c r="G544" s="6"/>
      <c r="H544" s="6"/>
      <c r="I544" s="6"/>
      <c r="J544" s="6"/>
      <c r="K544" s="6"/>
      <c r="L544" s="6"/>
      <c r="M544" s="6"/>
      <c r="N544" s="6"/>
      <c r="O544" s="6"/>
      <c r="P544" s="6"/>
      <c r="Q544" s="6"/>
      <c r="R544" s="6"/>
      <c r="S544" s="6"/>
      <c r="T544" s="6"/>
      <c r="U544" s="6"/>
      <c r="V544" s="6"/>
      <c r="W544" s="6"/>
      <c r="X544" s="6"/>
      <c r="Y544" s="6"/>
      <c r="Z544" s="6"/>
    </row>
    <row r="545">
      <c r="A545" s="9"/>
      <c r="B545" s="9"/>
      <c r="C545" s="9"/>
      <c r="D545" s="6"/>
      <c r="E545" s="9"/>
      <c r="F545" s="6"/>
      <c r="G545" s="6"/>
      <c r="H545" s="6"/>
      <c r="I545" s="6"/>
      <c r="J545" s="6"/>
      <c r="K545" s="6"/>
      <c r="L545" s="6"/>
      <c r="M545" s="6"/>
      <c r="N545" s="6"/>
      <c r="O545" s="6"/>
      <c r="P545" s="6"/>
      <c r="Q545" s="6"/>
      <c r="R545" s="6"/>
      <c r="S545" s="6"/>
      <c r="T545" s="6"/>
      <c r="U545" s="6"/>
      <c r="V545" s="6"/>
      <c r="W545" s="6"/>
      <c r="X545" s="6"/>
      <c r="Y545" s="6"/>
      <c r="Z545" s="6"/>
    </row>
    <row r="546">
      <c r="A546" s="9"/>
      <c r="B546" s="9"/>
      <c r="C546" s="9"/>
      <c r="D546" s="6"/>
      <c r="E546" s="9"/>
      <c r="F546" s="6"/>
      <c r="G546" s="6"/>
      <c r="H546" s="6"/>
      <c r="I546" s="6"/>
      <c r="J546" s="6"/>
      <c r="K546" s="6"/>
      <c r="L546" s="6"/>
      <c r="M546" s="6"/>
      <c r="N546" s="6"/>
      <c r="O546" s="6"/>
      <c r="P546" s="6"/>
      <c r="Q546" s="6"/>
      <c r="R546" s="6"/>
      <c r="S546" s="6"/>
      <c r="T546" s="6"/>
      <c r="U546" s="6"/>
      <c r="V546" s="6"/>
      <c r="W546" s="6"/>
      <c r="X546" s="6"/>
      <c r="Y546" s="6"/>
      <c r="Z546" s="6"/>
    </row>
    <row r="547">
      <c r="A547" s="9"/>
      <c r="B547" s="9"/>
      <c r="C547" s="9"/>
      <c r="D547" s="6"/>
      <c r="E547" s="9"/>
      <c r="F547" s="6"/>
      <c r="G547" s="6"/>
      <c r="H547" s="6"/>
      <c r="I547" s="6"/>
      <c r="J547" s="6"/>
      <c r="K547" s="6"/>
      <c r="L547" s="6"/>
      <c r="M547" s="6"/>
      <c r="N547" s="6"/>
      <c r="O547" s="6"/>
      <c r="P547" s="6"/>
      <c r="Q547" s="6"/>
      <c r="R547" s="6"/>
      <c r="S547" s="6"/>
      <c r="T547" s="6"/>
      <c r="U547" s="6"/>
      <c r="V547" s="6"/>
      <c r="W547" s="6"/>
      <c r="X547" s="6"/>
      <c r="Y547" s="6"/>
      <c r="Z547" s="6"/>
    </row>
    <row r="548">
      <c r="A548" s="9"/>
      <c r="B548" s="9"/>
      <c r="C548" s="9"/>
      <c r="D548" s="6"/>
      <c r="E548" s="9"/>
      <c r="F548" s="6"/>
      <c r="G548" s="6"/>
      <c r="H548" s="6"/>
      <c r="I548" s="6"/>
      <c r="J548" s="6"/>
      <c r="K548" s="6"/>
      <c r="L548" s="6"/>
      <c r="M548" s="6"/>
      <c r="N548" s="6"/>
      <c r="O548" s="6"/>
      <c r="P548" s="6"/>
      <c r="Q548" s="6"/>
      <c r="R548" s="6"/>
      <c r="S548" s="6"/>
      <c r="T548" s="6"/>
      <c r="U548" s="6"/>
      <c r="V548" s="6"/>
      <c r="W548" s="6"/>
      <c r="X548" s="6"/>
      <c r="Y548" s="6"/>
      <c r="Z548" s="6"/>
    </row>
    <row r="549">
      <c r="A549" s="9"/>
      <c r="B549" s="9"/>
      <c r="C549" s="9"/>
      <c r="D549" s="6"/>
      <c r="E549" s="9"/>
      <c r="F549" s="6"/>
      <c r="G549" s="6"/>
      <c r="H549" s="6"/>
      <c r="I549" s="6"/>
      <c r="J549" s="6"/>
      <c r="K549" s="6"/>
      <c r="L549" s="6"/>
      <c r="M549" s="6"/>
      <c r="N549" s="6"/>
      <c r="O549" s="6"/>
      <c r="P549" s="6"/>
      <c r="Q549" s="6"/>
      <c r="R549" s="6"/>
      <c r="S549" s="6"/>
      <c r="T549" s="6"/>
      <c r="U549" s="6"/>
      <c r="V549" s="6"/>
      <c r="W549" s="6"/>
      <c r="X549" s="6"/>
      <c r="Y549" s="6"/>
      <c r="Z549" s="6"/>
    </row>
    <row r="550">
      <c r="A550" s="9"/>
      <c r="B550" s="9"/>
      <c r="C550" s="9"/>
      <c r="D550" s="6"/>
      <c r="E550" s="9"/>
      <c r="F550" s="6"/>
      <c r="G550" s="6"/>
      <c r="H550" s="6"/>
      <c r="I550" s="6"/>
      <c r="J550" s="6"/>
      <c r="K550" s="6"/>
      <c r="L550" s="6"/>
      <c r="M550" s="6"/>
      <c r="N550" s="6"/>
      <c r="O550" s="6"/>
      <c r="P550" s="6"/>
      <c r="Q550" s="6"/>
      <c r="R550" s="6"/>
      <c r="S550" s="6"/>
      <c r="T550" s="6"/>
      <c r="U550" s="6"/>
      <c r="V550" s="6"/>
      <c r="W550" s="6"/>
      <c r="X550" s="6"/>
      <c r="Y550" s="6"/>
      <c r="Z550" s="6"/>
    </row>
    <row r="551">
      <c r="A551" s="9"/>
      <c r="B551" s="9"/>
      <c r="C551" s="9"/>
      <c r="D551" s="6"/>
      <c r="E551" s="9"/>
      <c r="F551" s="6"/>
      <c r="G551" s="6"/>
      <c r="H551" s="6"/>
      <c r="I551" s="6"/>
      <c r="J551" s="6"/>
      <c r="K551" s="6"/>
      <c r="L551" s="6"/>
      <c r="M551" s="6"/>
      <c r="N551" s="6"/>
      <c r="O551" s="6"/>
      <c r="P551" s="6"/>
      <c r="Q551" s="6"/>
      <c r="R551" s="6"/>
      <c r="S551" s="6"/>
      <c r="T551" s="6"/>
      <c r="U551" s="6"/>
      <c r="V551" s="6"/>
      <c r="W551" s="6"/>
      <c r="X551" s="6"/>
      <c r="Y551" s="6"/>
      <c r="Z551" s="6"/>
    </row>
    <row r="552">
      <c r="A552" s="9"/>
      <c r="B552" s="9"/>
      <c r="C552" s="9"/>
      <c r="D552" s="6"/>
      <c r="E552" s="9"/>
      <c r="F552" s="6"/>
      <c r="G552" s="6"/>
      <c r="H552" s="6"/>
      <c r="I552" s="6"/>
      <c r="J552" s="6"/>
      <c r="K552" s="6"/>
      <c r="L552" s="6"/>
      <c r="M552" s="6"/>
      <c r="N552" s="6"/>
      <c r="O552" s="6"/>
      <c r="P552" s="6"/>
      <c r="Q552" s="6"/>
      <c r="R552" s="6"/>
      <c r="S552" s="6"/>
      <c r="T552" s="6"/>
      <c r="U552" s="6"/>
      <c r="V552" s="6"/>
      <c r="W552" s="6"/>
      <c r="X552" s="6"/>
      <c r="Y552" s="6"/>
      <c r="Z552" s="6"/>
    </row>
    <row r="553">
      <c r="A553" s="9"/>
      <c r="B553" s="9"/>
      <c r="C553" s="9"/>
      <c r="D553" s="6"/>
      <c r="E553" s="9"/>
      <c r="F553" s="6"/>
      <c r="G553" s="6"/>
      <c r="H553" s="6"/>
      <c r="I553" s="6"/>
      <c r="J553" s="6"/>
      <c r="K553" s="6"/>
      <c r="L553" s="6"/>
      <c r="M553" s="6"/>
      <c r="N553" s="6"/>
      <c r="O553" s="6"/>
      <c r="P553" s="6"/>
      <c r="Q553" s="6"/>
      <c r="R553" s="6"/>
      <c r="S553" s="6"/>
      <c r="T553" s="6"/>
      <c r="U553" s="6"/>
      <c r="V553" s="6"/>
      <c r="W553" s="6"/>
      <c r="X553" s="6"/>
      <c r="Y553" s="6"/>
      <c r="Z553" s="6"/>
    </row>
    <row r="554">
      <c r="A554" s="9"/>
      <c r="B554" s="9"/>
      <c r="C554" s="9"/>
      <c r="D554" s="6"/>
      <c r="E554" s="9"/>
      <c r="F554" s="6"/>
      <c r="G554" s="6"/>
      <c r="H554" s="6"/>
      <c r="I554" s="6"/>
      <c r="J554" s="6"/>
      <c r="K554" s="6"/>
      <c r="L554" s="6"/>
      <c r="M554" s="6"/>
      <c r="N554" s="6"/>
      <c r="O554" s="6"/>
      <c r="P554" s="6"/>
      <c r="Q554" s="6"/>
      <c r="R554" s="6"/>
      <c r="S554" s="6"/>
      <c r="T554" s="6"/>
      <c r="U554" s="6"/>
      <c r="V554" s="6"/>
      <c r="W554" s="6"/>
      <c r="X554" s="6"/>
      <c r="Y554" s="6"/>
      <c r="Z554" s="6"/>
    </row>
    <row r="555">
      <c r="A555" s="9"/>
      <c r="B555" s="9"/>
      <c r="C555" s="9"/>
      <c r="D555" s="6"/>
      <c r="E555" s="9"/>
      <c r="F555" s="6"/>
      <c r="G555" s="6"/>
      <c r="H555" s="6"/>
      <c r="I555" s="6"/>
      <c r="J555" s="6"/>
      <c r="K555" s="6"/>
      <c r="L555" s="6"/>
      <c r="M555" s="6"/>
      <c r="N555" s="6"/>
      <c r="O555" s="6"/>
      <c r="P555" s="6"/>
      <c r="Q555" s="6"/>
      <c r="R555" s="6"/>
      <c r="S555" s="6"/>
      <c r="T555" s="6"/>
      <c r="U555" s="6"/>
      <c r="V555" s="6"/>
      <c r="W555" s="6"/>
      <c r="X555" s="6"/>
      <c r="Y555" s="6"/>
      <c r="Z555" s="6"/>
    </row>
    <row r="556">
      <c r="A556" s="9"/>
      <c r="B556" s="9"/>
      <c r="C556" s="9"/>
      <c r="D556" s="6"/>
      <c r="E556" s="9"/>
      <c r="F556" s="6"/>
      <c r="G556" s="6"/>
      <c r="H556" s="6"/>
      <c r="I556" s="6"/>
      <c r="J556" s="6"/>
      <c r="K556" s="6"/>
      <c r="L556" s="6"/>
      <c r="M556" s="6"/>
      <c r="N556" s="6"/>
      <c r="O556" s="6"/>
      <c r="P556" s="6"/>
      <c r="Q556" s="6"/>
      <c r="R556" s="6"/>
      <c r="S556" s="6"/>
      <c r="T556" s="6"/>
      <c r="U556" s="6"/>
      <c r="V556" s="6"/>
      <c r="W556" s="6"/>
      <c r="X556" s="6"/>
      <c r="Y556" s="6"/>
      <c r="Z556" s="6"/>
    </row>
    <row r="557">
      <c r="A557" s="9"/>
      <c r="B557" s="9"/>
      <c r="C557" s="9"/>
      <c r="D557" s="6"/>
      <c r="E557" s="9"/>
      <c r="F557" s="6"/>
      <c r="G557" s="6"/>
      <c r="H557" s="6"/>
      <c r="I557" s="6"/>
      <c r="J557" s="6"/>
      <c r="K557" s="6"/>
      <c r="L557" s="6"/>
      <c r="M557" s="6"/>
      <c r="N557" s="6"/>
      <c r="O557" s="6"/>
      <c r="P557" s="6"/>
      <c r="Q557" s="6"/>
      <c r="R557" s="6"/>
      <c r="S557" s="6"/>
      <c r="T557" s="6"/>
      <c r="U557" s="6"/>
      <c r="V557" s="6"/>
      <c r="W557" s="6"/>
      <c r="X557" s="6"/>
      <c r="Y557" s="6"/>
      <c r="Z557" s="6"/>
    </row>
    <row r="558">
      <c r="A558" s="9"/>
      <c r="B558" s="9"/>
      <c r="C558" s="9"/>
      <c r="D558" s="6"/>
      <c r="E558" s="9"/>
      <c r="F558" s="6"/>
      <c r="G558" s="6"/>
      <c r="H558" s="6"/>
      <c r="I558" s="6"/>
      <c r="J558" s="6"/>
      <c r="K558" s="6"/>
      <c r="L558" s="6"/>
      <c r="M558" s="6"/>
      <c r="N558" s="6"/>
      <c r="O558" s="6"/>
      <c r="P558" s="6"/>
      <c r="Q558" s="6"/>
      <c r="R558" s="6"/>
      <c r="S558" s="6"/>
      <c r="T558" s="6"/>
      <c r="U558" s="6"/>
      <c r="V558" s="6"/>
      <c r="W558" s="6"/>
      <c r="X558" s="6"/>
      <c r="Y558" s="6"/>
      <c r="Z558" s="6"/>
    </row>
    <row r="559">
      <c r="A559" s="9"/>
      <c r="B559" s="9"/>
      <c r="C559" s="9"/>
      <c r="D559" s="6"/>
      <c r="E559" s="9"/>
      <c r="F559" s="6"/>
      <c r="G559" s="6"/>
      <c r="H559" s="6"/>
      <c r="I559" s="6"/>
      <c r="J559" s="6"/>
      <c r="K559" s="6"/>
      <c r="L559" s="6"/>
      <c r="M559" s="6"/>
      <c r="N559" s="6"/>
      <c r="O559" s="6"/>
      <c r="P559" s="6"/>
      <c r="Q559" s="6"/>
      <c r="R559" s="6"/>
      <c r="S559" s="6"/>
      <c r="T559" s="6"/>
      <c r="U559" s="6"/>
      <c r="V559" s="6"/>
      <c r="W559" s="6"/>
      <c r="X559" s="6"/>
      <c r="Y559" s="6"/>
      <c r="Z559" s="6"/>
    </row>
    <row r="560">
      <c r="A560" s="9"/>
      <c r="B560" s="9"/>
      <c r="C560" s="9"/>
      <c r="D560" s="6"/>
      <c r="E560" s="9"/>
      <c r="F560" s="6"/>
      <c r="G560" s="6"/>
      <c r="H560" s="6"/>
      <c r="I560" s="6"/>
      <c r="J560" s="6"/>
      <c r="K560" s="6"/>
      <c r="L560" s="6"/>
      <c r="M560" s="6"/>
      <c r="N560" s="6"/>
      <c r="O560" s="6"/>
      <c r="P560" s="6"/>
      <c r="Q560" s="6"/>
      <c r="R560" s="6"/>
      <c r="S560" s="6"/>
      <c r="T560" s="6"/>
      <c r="U560" s="6"/>
      <c r="V560" s="6"/>
      <c r="W560" s="6"/>
      <c r="X560" s="6"/>
      <c r="Y560" s="6"/>
      <c r="Z560" s="6"/>
    </row>
    <row r="561">
      <c r="A561" s="9"/>
      <c r="B561" s="9"/>
      <c r="C561" s="9"/>
      <c r="D561" s="6"/>
      <c r="E561" s="9"/>
      <c r="F561" s="6"/>
      <c r="G561" s="6"/>
      <c r="H561" s="6"/>
      <c r="I561" s="6"/>
      <c r="J561" s="6"/>
      <c r="K561" s="6"/>
      <c r="L561" s="6"/>
      <c r="M561" s="6"/>
      <c r="N561" s="6"/>
      <c r="O561" s="6"/>
      <c r="P561" s="6"/>
      <c r="Q561" s="6"/>
      <c r="R561" s="6"/>
      <c r="S561" s="6"/>
      <c r="T561" s="6"/>
      <c r="U561" s="6"/>
      <c r="V561" s="6"/>
      <c r="W561" s="6"/>
      <c r="X561" s="6"/>
      <c r="Y561" s="6"/>
      <c r="Z561" s="6"/>
    </row>
    <row r="562">
      <c r="A562" s="9"/>
      <c r="B562" s="9"/>
      <c r="C562" s="9"/>
      <c r="D562" s="6"/>
      <c r="E562" s="9"/>
      <c r="F562" s="6"/>
      <c r="G562" s="6"/>
      <c r="H562" s="6"/>
      <c r="I562" s="6"/>
      <c r="J562" s="6"/>
      <c r="K562" s="6"/>
      <c r="L562" s="6"/>
      <c r="M562" s="6"/>
      <c r="N562" s="6"/>
      <c r="O562" s="6"/>
      <c r="P562" s="6"/>
      <c r="Q562" s="6"/>
      <c r="R562" s="6"/>
      <c r="S562" s="6"/>
      <c r="T562" s="6"/>
      <c r="U562" s="6"/>
      <c r="V562" s="6"/>
      <c r="W562" s="6"/>
      <c r="X562" s="6"/>
      <c r="Y562" s="6"/>
      <c r="Z562" s="6"/>
    </row>
    <row r="563">
      <c r="A563" s="9"/>
      <c r="B563" s="9"/>
      <c r="C563" s="9"/>
      <c r="D563" s="6"/>
      <c r="E563" s="9"/>
      <c r="F563" s="6"/>
      <c r="G563" s="6"/>
      <c r="H563" s="6"/>
      <c r="I563" s="6"/>
      <c r="J563" s="6"/>
      <c r="K563" s="6"/>
      <c r="L563" s="6"/>
      <c r="M563" s="6"/>
      <c r="N563" s="6"/>
      <c r="O563" s="6"/>
      <c r="P563" s="6"/>
      <c r="Q563" s="6"/>
      <c r="R563" s="6"/>
      <c r="S563" s="6"/>
      <c r="T563" s="6"/>
      <c r="U563" s="6"/>
      <c r="V563" s="6"/>
      <c r="W563" s="6"/>
      <c r="X563" s="6"/>
      <c r="Y563" s="6"/>
      <c r="Z563" s="6"/>
    </row>
    <row r="564">
      <c r="A564" s="9"/>
      <c r="B564" s="9"/>
      <c r="C564" s="9"/>
      <c r="D564" s="6"/>
      <c r="E564" s="9"/>
      <c r="F564" s="6"/>
      <c r="G564" s="6"/>
      <c r="H564" s="6"/>
      <c r="I564" s="6"/>
      <c r="J564" s="6"/>
      <c r="K564" s="6"/>
      <c r="L564" s="6"/>
      <c r="M564" s="6"/>
      <c r="N564" s="6"/>
      <c r="O564" s="6"/>
      <c r="P564" s="6"/>
      <c r="Q564" s="6"/>
      <c r="R564" s="6"/>
      <c r="S564" s="6"/>
      <c r="T564" s="6"/>
      <c r="U564" s="6"/>
      <c r="V564" s="6"/>
      <c r="W564" s="6"/>
      <c r="X564" s="6"/>
      <c r="Y564" s="6"/>
      <c r="Z564" s="6"/>
    </row>
    <row r="565">
      <c r="A565" s="9"/>
      <c r="B565" s="9"/>
      <c r="C565" s="9"/>
      <c r="D565" s="6"/>
      <c r="E565" s="9"/>
      <c r="F565" s="6"/>
      <c r="G565" s="6"/>
      <c r="H565" s="6"/>
      <c r="I565" s="6"/>
      <c r="J565" s="6"/>
      <c r="K565" s="6"/>
      <c r="L565" s="6"/>
      <c r="M565" s="6"/>
      <c r="N565" s="6"/>
      <c r="O565" s="6"/>
      <c r="P565" s="6"/>
      <c r="Q565" s="6"/>
      <c r="R565" s="6"/>
      <c r="S565" s="6"/>
      <c r="T565" s="6"/>
      <c r="U565" s="6"/>
      <c r="V565" s="6"/>
      <c r="W565" s="6"/>
      <c r="X565" s="6"/>
      <c r="Y565" s="6"/>
      <c r="Z565" s="6"/>
    </row>
    <row r="566">
      <c r="A566" s="9"/>
      <c r="B566" s="9"/>
      <c r="C566" s="9"/>
      <c r="D566" s="6"/>
      <c r="E566" s="9"/>
      <c r="F566" s="6"/>
      <c r="G566" s="6"/>
      <c r="H566" s="6"/>
      <c r="I566" s="6"/>
      <c r="J566" s="6"/>
      <c r="K566" s="6"/>
      <c r="L566" s="6"/>
      <c r="M566" s="6"/>
      <c r="N566" s="6"/>
      <c r="O566" s="6"/>
      <c r="P566" s="6"/>
      <c r="Q566" s="6"/>
      <c r="R566" s="6"/>
      <c r="S566" s="6"/>
      <c r="T566" s="6"/>
      <c r="U566" s="6"/>
      <c r="V566" s="6"/>
      <c r="W566" s="6"/>
      <c r="X566" s="6"/>
      <c r="Y566" s="6"/>
      <c r="Z566" s="6"/>
    </row>
    <row r="567">
      <c r="A567" s="9"/>
      <c r="B567" s="9"/>
      <c r="C567" s="9"/>
      <c r="D567" s="6"/>
      <c r="E567" s="9"/>
      <c r="F567" s="6"/>
      <c r="G567" s="6"/>
      <c r="H567" s="6"/>
      <c r="I567" s="6"/>
      <c r="J567" s="6"/>
      <c r="K567" s="6"/>
      <c r="L567" s="6"/>
      <c r="M567" s="6"/>
      <c r="N567" s="6"/>
      <c r="O567" s="6"/>
      <c r="P567" s="6"/>
      <c r="Q567" s="6"/>
      <c r="R567" s="6"/>
      <c r="S567" s="6"/>
      <c r="T567" s="6"/>
      <c r="U567" s="6"/>
      <c r="V567" s="6"/>
      <c r="W567" s="6"/>
      <c r="X567" s="6"/>
      <c r="Y567" s="6"/>
      <c r="Z567" s="6"/>
    </row>
    <row r="568">
      <c r="A568" s="9"/>
      <c r="B568" s="9"/>
      <c r="C568" s="9"/>
      <c r="D568" s="6"/>
      <c r="E568" s="9"/>
      <c r="F568" s="6"/>
      <c r="G568" s="6"/>
      <c r="H568" s="6"/>
      <c r="I568" s="6"/>
      <c r="J568" s="6"/>
      <c r="K568" s="6"/>
      <c r="L568" s="6"/>
      <c r="M568" s="6"/>
      <c r="N568" s="6"/>
      <c r="O568" s="6"/>
      <c r="P568" s="6"/>
      <c r="Q568" s="6"/>
      <c r="R568" s="6"/>
      <c r="S568" s="6"/>
      <c r="T568" s="6"/>
      <c r="U568" s="6"/>
      <c r="V568" s="6"/>
      <c r="W568" s="6"/>
      <c r="X568" s="6"/>
      <c r="Y568" s="6"/>
      <c r="Z568" s="6"/>
    </row>
    <row r="569">
      <c r="A569" s="9"/>
      <c r="B569" s="9"/>
      <c r="C569" s="9"/>
      <c r="D569" s="6"/>
      <c r="E569" s="9"/>
      <c r="F569" s="6"/>
      <c r="G569" s="6"/>
      <c r="H569" s="6"/>
      <c r="I569" s="6"/>
      <c r="J569" s="6"/>
      <c r="K569" s="6"/>
      <c r="L569" s="6"/>
      <c r="M569" s="6"/>
      <c r="N569" s="6"/>
      <c r="O569" s="6"/>
      <c r="P569" s="6"/>
      <c r="Q569" s="6"/>
      <c r="R569" s="6"/>
      <c r="S569" s="6"/>
      <c r="T569" s="6"/>
      <c r="U569" s="6"/>
      <c r="V569" s="6"/>
      <c r="W569" s="6"/>
      <c r="X569" s="6"/>
      <c r="Y569" s="6"/>
      <c r="Z569" s="6"/>
    </row>
    <row r="570">
      <c r="A570" s="9"/>
      <c r="B570" s="9"/>
      <c r="C570" s="9"/>
      <c r="D570" s="6"/>
      <c r="E570" s="9"/>
      <c r="F570" s="6"/>
      <c r="G570" s="6"/>
      <c r="H570" s="6"/>
      <c r="I570" s="6"/>
      <c r="J570" s="6"/>
      <c r="K570" s="6"/>
      <c r="L570" s="6"/>
      <c r="M570" s="6"/>
      <c r="N570" s="6"/>
      <c r="O570" s="6"/>
      <c r="P570" s="6"/>
      <c r="Q570" s="6"/>
      <c r="R570" s="6"/>
      <c r="S570" s="6"/>
      <c r="T570" s="6"/>
      <c r="U570" s="6"/>
      <c r="V570" s="6"/>
      <c r="W570" s="6"/>
      <c r="X570" s="6"/>
      <c r="Y570" s="6"/>
      <c r="Z570" s="6"/>
    </row>
    <row r="571">
      <c r="A571" s="9"/>
      <c r="B571" s="9"/>
      <c r="C571" s="9"/>
      <c r="D571" s="6"/>
      <c r="E571" s="9"/>
      <c r="F571" s="6"/>
      <c r="G571" s="6"/>
      <c r="H571" s="6"/>
      <c r="I571" s="6"/>
      <c r="J571" s="6"/>
      <c r="K571" s="6"/>
      <c r="L571" s="6"/>
      <c r="M571" s="6"/>
      <c r="N571" s="6"/>
      <c r="O571" s="6"/>
      <c r="P571" s="6"/>
      <c r="Q571" s="6"/>
      <c r="R571" s="6"/>
      <c r="S571" s="6"/>
      <c r="T571" s="6"/>
      <c r="U571" s="6"/>
      <c r="V571" s="6"/>
      <c r="W571" s="6"/>
      <c r="X571" s="6"/>
      <c r="Y571" s="6"/>
      <c r="Z571" s="6"/>
    </row>
    <row r="572">
      <c r="A572" s="9"/>
      <c r="B572" s="9"/>
      <c r="C572" s="9"/>
      <c r="D572" s="6"/>
      <c r="E572" s="9"/>
      <c r="F572" s="6"/>
      <c r="G572" s="6"/>
      <c r="H572" s="6"/>
      <c r="I572" s="6"/>
      <c r="J572" s="6"/>
      <c r="K572" s="6"/>
      <c r="L572" s="6"/>
      <c r="M572" s="6"/>
      <c r="N572" s="6"/>
      <c r="O572" s="6"/>
      <c r="P572" s="6"/>
      <c r="Q572" s="6"/>
      <c r="R572" s="6"/>
      <c r="S572" s="6"/>
      <c r="T572" s="6"/>
      <c r="U572" s="6"/>
      <c r="V572" s="6"/>
      <c r="W572" s="6"/>
      <c r="X572" s="6"/>
      <c r="Y572" s="6"/>
      <c r="Z572" s="6"/>
    </row>
    <row r="573">
      <c r="A573" s="9"/>
      <c r="B573" s="9"/>
      <c r="C573" s="9"/>
      <c r="D573" s="6"/>
      <c r="E573" s="9"/>
      <c r="F573" s="6"/>
      <c r="G573" s="6"/>
      <c r="H573" s="6"/>
      <c r="I573" s="6"/>
      <c r="J573" s="6"/>
      <c r="K573" s="6"/>
      <c r="L573" s="6"/>
      <c r="M573" s="6"/>
      <c r="N573" s="6"/>
      <c r="O573" s="6"/>
      <c r="P573" s="6"/>
      <c r="Q573" s="6"/>
      <c r="R573" s="6"/>
      <c r="S573" s="6"/>
      <c r="T573" s="6"/>
      <c r="U573" s="6"/>
      <c r="V573" s="6"/>
      <c r="W573" s="6"/>
      <c r="X573" s="6"/>
      <c r="Y573" s="6"/>
      <c r="Z573" s="6"/>
    </row>
    <row r="574">
      <c r="A574" s="9"/>
      <c r="B574" s="9"/>
      <c r="C574" s="9"/>
      <c r="D574" s="6"/>
      <c r="E574" s="9"/>
      <c r="F574" s="6"/>
      <c r="G574" s="6"/>
      <c r="H574" s="6"/>
      <c r="I574" s="6"/>
      <c r="J574" s="6"/>
      <c r="K574" s="6"/>
      <c r="L574" s="6"/>
      <c r="M574" s="6"/>
      <c r="N574" s="6"/>
      <c r="O574" s="6"/>
      <c r="P574" s="6"/>
      <c r="Q574" s="6"/>
      <c r="R574" s="6"/>
      <c r="S574" s="6"/>
      <c r="T574" s="6"/>
      <c r="U574" s="6"/>
      <c r="V574" s="6"/>
      <c r="W574" s="6"/>
      <c r="X574" s="6"/>
      <c r="Y574" s="6"/>
      <c r="Z574" s="6"/>
    </row>
    <row r="575">
      <c r="A575" s="9"/>
      <c r="B575" s="9"/>
      <c r="C575" s="9"/>
      <c r="D575" s="6"/>
      <c r="E575" s="9"/>
      <c r="F575" s="6"/>
      <c r="G575" s="6"/>
      <c r="H575" s="6"/>
      <c r="I575" s="6"/>
      <c r="J575" s="6"/>
      <c r="K575" s="6"/>
      <c r="L575" s="6"/>
      <c r="M575" s="6"/>
      <c r="N575" s="6"/>
      <c r="O575" s="6"/>
      <c r="P575" s="6"/>
      <c r="Q575" s="6"/>
      <c r="R575" s="6"/>
      <c r="S575" s="6"/>
      <c r="T575" s="6"/>
      <c r="U575" s="6"/>
      <c r="V575" s="6"/>
      <c r="W575" s="6"/>
      <c r="X575" s="6"/>
      <c r="Y575" s="6"/>
      <c r="Z575" s="6"/>
    </row>
    <row r="576">
      <c r="A576" s="9"/>
      <c r="B576" s="9"/>
      <c r="C576" s="9"/>
      <c r="D576" s="6"/>
      <c r="E576" s="9"/>
      <c r="F576" s="6"/>
      <c r="G576" s="6"/>
      <c r="H576" s="6"/>
      <c r="I576" s="6"/>
      <c r="J576" s="6"/>
      <c r="K576" s="6"/>
      <c r="L576" s="6"/>
      <c r="M576" s="6"/>
      <c r="N576" s="6"/>
      <c r="O576" s="6"/>
      <c r="P576" s="6"/>
      <c r="Q576" s="6"/>
      <c r="R576" s="6"/>
      <c r="S576" s="6"/>
      <c r="T576" s="6"/>
      <c r="U576" s="6"/>
      <c r="V576" s="6"/>
      <c r="W576" s="6"/>
      <c r="X576" s="6"/>
      <c r="Y576" s="6"/>
      <c r="Z576" s="6"/>
    </row>
    <row r="577">
      <c r="A577" s="9"/>
      <c r="B577" s="9"/>
      <c r="C577" s="9"/>
      <c r="D577" s="6"/>
      <c r="E577" s="9"/>
      <c r="F577" s="6"/>
      <c r="G577" s="6"/>
      <c r="H577" s="6"/>
      <c r="I577" s="6"/>
      <c r="J577" s="6"/>
      <c r="K577" s="6"/>
      <c r="L577" s="6"/>
      <c r="M577" s="6"/>
      <c r="N577" s="6"/>
      <c r="O577" s="6"/>
      <c r="P577" s="6"/>
      <c r="Q577" s="6"/>
      <c r="R577" s="6"/>
      <c r="S577" s="6"/>
      <c r="T577" s="6"/>
      <c r="U577" s="6"/>
      <c r="V577" s="6"/>
      <c r="W577" s="6"/>
      <c r="X577" s="6"/>
      <c r="Y577" s="6"/>
      <c r="Z577" s="6"/>
    </row>
    <row r="578">
      <c r="A578" s="9"/>
      <c r="B578" s="9"/>
      <c r="C578" s="9"/>
      <c r="D578" s="6"/>
      <c r="E578" s="9"/>
      <c r="F578" s="6"/>
      <c r="G578" s="6"/>
      <c r="H578" s="6"/>
      <c r="I578" s="6"/>
      <c r="J578" s="6"/>
      <c r="K578" s="6"/>
      <c r="L578" s="6"/>
      <c r="M578" s="6"/>
      <c r="N578" s="6"/>
      <c r="O578" s="6"/>
      <c r="P578" s="6"/>
      <c r="Q578" s="6"/>
      <c r="R578" s="6"/>
      <c r="S578" s="6"/>
      <c r="T578" s="6"/>
      <c r="U578" s="6"/>
      <c r="V578" s="6"/>
      <c r="W578" s="6"/>
      <c r="X578" s="6"/>
      <c r="Y578" s="6"/>
      <c r="Z578" s="6"/>
    </row>
    <row r="579">
      <c r="A579" s="9"/>
      <c r="B579" s="9"/>
      <c r="C579" s="9"/>
      <c r="D579" s="6"/>
      <c r="E579" s="9"/>
      <c r="F579" s="6"/>
      <c r="G579" s="6"/>
      <c r="H579" s="6"/>
      <c r="I579" s="6"/>
      <c r="J579" s="6"/>
      <c r="K579" s="6"/>
      <c r="L579" s="6"/>
      <c r="M579" s="6"/>
      <c r="N579" s="6"/>
      <c r="O579" s="6"/>
      <c r="P579" s="6"/>
      <c r="Q579" s="6"/>
      <c r="R579" s="6"/>
      <c r="S579" s="6"/>
      <c r="T579" s="6"/>
      <c r="U579" s="6"/>
      <c r="V579" s="6"/>
      <c r="W579" s="6"/>
      <c r="X579" s="6"/>
      <c r="Y579" s="6"/>
      <c r="Z579" s="6"/>
    </row>
    <row r="580">
      <c r="A580" s="9"/>
      <c r="B580" s="9"/>
      <c r="C580" s="9"/>
      <c r="D580" s="6"/>
      <c r="E580" s="9"/>
      <c r="F580" s="6"/>
      <c r="G580" s="6"/>
      <c r="H580" s="6"/>
      <c r="I580" s="6"/>
      <c r="J580" s="6"/>
      <c r="K580" s="6"/>
      <c r="L580" s="6"/>
      <c r="M580" s="6"/>
      <c r="N580" s="6"/>
      <c r="O580" s="6"/>
      <c r="P580" s="6"/>
      <c r="Q580" s="6"/>
      <c r="R580" s="6"/>
      <c r="S580" s="6"/>
      <c r="T580" s="6"/>
      <c r="U580" s="6"/>
      <c r="V580" s="6"/>
      <c r="W580" s="6"/>
      <c r="X580" s="6"/>
      <c r="Y580" s="6"/>
      <c r="Z580" s="6"/>
    </row>
    <row r="581">
      <c r="A581" s="9"/>
      <c r="B581" s="9"/>
      <c r="C581" s="9"/>
      <c r="D581" s="6"/>
      <c r="E581" s="9"/>
      <c r="F581" s="6"/>
      <c r="G581" s="6"/>
      <c r="H581" s="6"/>
      <c r="I581" s="6"/>
      <c r="J581" s="6"/>
      <c r="K581" s="6"/>
      <c r="L581" s="6"/>
      <c r="M581" s="6"/>
      <c r="N581" s="6"/>
      <c r="O581" s="6"/>
      <c r="P581" s="6"/>
      <c r="Q581" s="6"/>
      <c r="R581" s="6"/>
      <c r="S581" s="6"/>
      <c r="T581" s="6"/>
      <c r="U581" s="6"/>
      <c r="V581" s="6"/>
      <c r="W581" s="6"/>
      <c r="X581" s="6"/>
      <c r="Y581" s="6"/>
      <c r="Z581" s="6"/>
    </row>
    <row r="582">
      <c r="A582" s="9"/>
      <c r="B582" s="9"/>
      <c r="C582" s="9"/>
      <c r="D582" s="6"/>
      <c r="E582" s="9"/>
      <c r="F582" s="6"/>
      <c r="G582" s="6"/>
      <c r="H582" s="6"/>
      <c r="I582" s="6"/>
      <c r="J582" s="6"/>
      <c r="K582" s="6"/>
      <c r="L582" s="6"/>
      <c r="M582" s="6"/>
      <c r="N582" s="6"/>
      <c r="O582" s="6"/>
      <c r="P582" s="6"/>
      <c r="Q582" s="6"/>
      <c r="R582" s="6"/>
      <c r="S582" s="6"/>
      <c r="T582" s="6"/>
      <c r="U582" s="6"/>
      <c r="V582" s="6"/>
      <c r="W582" s="6"/>
      <c r="X582" s="6"/>
      <c r="Y582" s="6"/>
      <c r="Z582" s="6"/>
    </row>
    <row r="583">
      <c r="A583" s="9"/>
      <c r="B583" s="9"/>
      <c r="C583" s="9"/>
      <c r="D583" s="6"/>
      <c r="E583" s="9"/>
      <c r="F583" s="6"/>
      <c r="G583" s="6"/>
      <c r="H583" s="6"/>
      <c r="I583" s="6"/>
      <c r="J583" s="6"/>
      <c r="K583" s="6"/>
      <c r="L583" s="6"/>
      <c r="M583" s="6"/>
      <c r="N583" s="6"/>
      <c r="O583" s="6"/>
      <c r="P583" s="6"/>
      <c r="Q583" s="6"/>
      <c r="R583" s="6"/>
      <c r="S583" s="6"/>
      <c r="T583" s="6"/>
      <c r="U583" s="6"/>
      <c r="V583" s="6"/>
      <c r="W583" s="6"/>
      <c r="X583" s="6"/>
      <c r="Y583" s="6"/>
      <c r="Z583" s="6"/>
    </row>
    <row r="584">
      <c r="A584" s="9"/>
      <c r="B584" s="9"/>
      <c r="C584" s="9"/>
      <c r="D584" s="6"/>
      <c r="E584" s="9"/>
      <c r="F584" s="6"/>
      <c r="G584" s="6"/>
      <c r="H584" s="6"/>
      <c r="I584" s="6"/>
      <c r="J584" s="6"/>
      <c r="K584" s="6"/>
      <c r="L584" s="6"/>
      <c r="M584" s="6"/>
      <c r="N584" s="6"/>
      <c r="O584" s="6"/>
      <c r="P584" s="6"/>
      <c r="Q584" s="6"/>
      <c r="R584" s="6"/>
      <c r="S584" s="6"/>
      <c r="T584" s="6"/>
      <c r="U584" s="6"/>
      <c r="V584" s="6"/>
      <c r="W584" s="6"/>
      <c r="X584" s="6"/>
      <c r="Y584" s="6"/>
      <c r="Z584" s="6"/>
    </row>
    <row r="585">
      <c r="A585" s="9"/>
      <c r="B585" s="9"/>
      <c r="C585" s="9"/>
      <c r="D585" s="6"/>
      <c r="E585" s="9"/>
      <c r="F585" s="6"/>
      <c r="G585" s="6"/>
      <c r="H585" s="6"/>
      <c r="I585" s="6"/>
      <c r="J585" s="6"/>
      <c r="K585" s="6"/>
      <c r="L585" s="6"/>
      <c r="M585" s="6"/>
      <c r="N585" s="6"/>
      <c r="O585" s="6"/>
      <c r="P585" s="6"/>
      <c r="Q585" s="6"/>
      <c r="R585" s="6"/>
      <c r="S585" s="6"/>
      <c r="T585" s="6"/>
      <c r="U585" s="6"/>
      <c r="V585" s="6"/>
      <c r="W585" s="6"/>
      <c r="X585" s="6"/>
      <c r="Y585" s="6"/>
      <c r="Z585" s="6"/>
    </row>
    <row r="586">
      <c r="A586" s="9"/>
      <c r="B586" s="9"/>
      <c r="C586" s="9"/>
      <c r="D586" s="6"/>
      <c r="E586" s="9"/>
      <c r="F586" s="6"/>
      <c r="G586" s="6"/>
      <c r="H586" s="6"/>
      <c r="I586" s="6"/>
      <c r="J586" s="6"/>
      <c r="K586" s="6"/>
      <c r="L586" s="6"/>
      <c r="M586" s="6"/>
      <c r="N586" s="6"/>
      <c r="O586" s="6"/>
      <c r="P586" s="6"/>
      <c r="Q586" s="6"/>
      <c r="R586" s="6"/>
      <c r="S586" s="6"/>
      <c r="T586" s="6"/>
      <c r="U586" s="6"/>
      <c r="V586" s="6"/>
      <c r="W586" s="6"/>
      <c r="X586" s="6"/>
      <c r="Y586" s="6"/>
      <c r="Z586" s="6"/>
    </row>
    <row r="587">
      <c r="A587" s="9"/>
      <c r="B587" s="9"/>
      <c r="C587" s="9"/>
      <c r="D587" s="6"/>
      <c r="E587" s="9"/>
      <c r="F587" s="6"/>
      <c r="G587" s="6"/>
      <c r="H587" s="6"/>
      <c r="I587" s="6"/>
      <c r="J587" s="6"/>
      <c r="K587" s="6"/>
      <c r="L587" s="6"/>
      <c r="M587" s="6"/>
      <c r="N587" s="6"/>
      <c r="O587" s="6"/>
      <c r="P587" s="6"/>
      <c r="Q587" s="6"/>
      <c r="R587" s="6"/>
      <c r="S587" s="6"/>
      <c r="T587" s="6"/>
      <c r="U587" s="6"/>
      <c r="V587" s="6"/>
      <c r="W587" s="6"/>
      <c r="X587" s="6"/>
      <c r="Y587" s="6"/>
      <c r="Z587" s="6"/>
    </row>
    <row r="588">
      <c r="A588" s="9"/>
      <c r="B588" s="9"/>
      <c r="C588" s="9"/>
      <c r="D588" s="6"/>
      <c r="E588" s="9"/>
      <c r="F588" s="6"/>
      <c r="G588" s="6"/>
      <c r="H588" s="6"/>
      <c r="I588" s="6"/>
      <c r="J588" s="6"/>
      <c r="K588" s="6"/>
      <c r="L588" s="6"/>
      <c r="M588" s="6"/>
      <c r="N588" s="6"/>
      <c r="O588" s="6"/>
      <c r="P588" s="6"/>
      <c r="Q588" s="6"/>
      <c r="R588" s="6"/>
      <c r="S588" s="6"/>
      <c r="T588" s="6"/>
      <c r="U588" s="6"/>
      <c r="V588" s="6"/>
      <c r="W588" s="6"/>
      <c r="X588" s="6"/>
      <c r="Y588" s="6"/>
      <c r="Z588" s="6"/>
    </row>
    <row r="589">
      <c r="A589" s="9"/>
      <c r="B589" s="9"/>
      <c r="C589" s="9"/>
      <c r="D589" s="6"/>
      <c r="E589" s="9"/>
      <c r="F589" s="6"/>
      <c r="G589" s="6"/>
      <c r="H589" s="6"/>
      <c r="I589" s="6"/>
      <c r="J589" s="6"/>
      <c r="K589" s="6"/>
      <c r="L589" s="6"/>
      <c r="M589" s="6"/>
      <c r="N589" s="6"/>
      <c r="O589" s="6"/>
      <c r="P589" s="6"/>
      <c r="Q589" s="6"/>
      <c r="R589" s="6"/>
      <c r="S589" s="6"/>
      <c r="T589" s="6"/>
      <c r="U589" s="6"/>
      <c r="V589" s="6"/>
      <c r="W589" s="6"/>
      <c r="X589" s="6"/>
      <c r="Y589" s="6"/>
      <c r="Z589" s="6"/>
    </row>
    <row r="590">
      <c r="A590" s="9"/>
      <c r="B590" s="9"/>
      <c r="C590" s="9"/>
      <c r="D590" s="6"/>
      <c r="E590" s="9"/>
      <c r="F590" s="6"/>
      <c r="G590" s="6"/>
      <c r="H590" s="6"/>
      <c r="I590" s="6"/>
      <c r="J590" s="6"/>
      <c r="K590" s="6"/>
      <c r="L590" s="6"/>
      <c r="M590" s="6"/>
      <c r="N590" s="6"/>
      <c r="O590" s="6"/>
      <c r="P590" s="6"/>
      <c r="Q590" s="6"/>
      <c r="R590" s="6"/>
      <c r="S590" s="6"/>
      <c r="T590" s="6"/>
      <c r="U590" s="6"/>
      <c r="V590" s="6"/>
      <c r="W590" s="6"/>
      <c r="X590" s="6"/>
      <c r="Y590" s="6"/>
      <c r="Z590" s="6"/>
    </row>
    <row r="591">
      <c r="A591" s="9"/>
      <c r="B591" s="9"/>
      <c r="C591" s="9"/>
      <c r="D591" s="6"/>
      <c r="E591" s="9"/>
      <c r="F591" s="6"/>
      <c r="G591" s="6"/>
      <c r="H591" s="6"/>
      <c r="I591" s="6"/>
      <c r="J591" s="6"/>
      <c r="K591" s="6"/>
      <c r="L591" s="6"/>
      <c r="M591" s="6"/>
      <c r="N591" s="6"/>
      <c r="O591" s="6"/>
      <c r="P591" s="6"/>
      <c r="Q591" s="6"/>
      <c r="R591" s="6"/>
      <c r="S591" s="6"/>
      <c r="T591" s="6"/>
      <c r="U591" s="6"/>
      <c r="V591" s="6"/>
      <c r="W591" s="6"/>
      <c r="X591" s="6"/>
      <c r="Y591" s="6"/>
      <c r="Z591" s="6"/>
    </row>
    <row r="592">
      <c r="A592" s="9"/>
      <c r="B592" s="9"/>
      <c r="C592" s="9"/>
      <c r="D592" s="6"/>
      <c r="E592" s="9"/>
      <c r="F592" s="6"/>
      <c r="G592" s="6"/>
      <c r="H592" s="6"/>
      <c r="I592" s="6"/>
      <c r="J592" s="6"/>
      <c r="K592" s="6"/>
      <c r="L592" s="6"/>
      <c r="M592" s="6"/>
      <c r="N592" s="6"/>
      <c r="O592" s="6"/>
      <c r="P592" s="6"/>
      <c r="Q592" s="6"/>
      <c r="R592" s="6"/>
      <c r="S592" s="6"/>
      <c r="T592" s="6"/>
      <c r="U592" s="6"/>
      <c r="V592" s="6"/>
      <c r="W592" s="6"/>
      <c r="X592" s="6"/>
      <c r="Y592" s="6"/>
      <c r="Z592" s="6"/>
    </row>
    <row r="593">
      <c r="A593" s="9"/>
      <c r="B593" s="9"/>
      <c r="C593" s="9"/>
      <c r="D593" s="6"/>
      <c r="E593" s="9"/>
      <c r="F593" s="6"/>
      <c r="G593" s="6"/>
      <c r="H593" s="6"/>
      <c r="I593" s="6"/>
      <c r="J593" s="6"/>
      <c r="K593" s="6"/>
      <c r="L593" s="6"/>
      <c r="M593" s="6"/>
      <c r="N593" s="6"/>
      <c r="O593" s="6"/>
      <c r="P593" s="6"/>
      <c r="Q593" s="6"/>
      <c r="R593" s="6"/>
      <c r="S593" s="6"/>
      <c r="T593" s="6"/>
      <c r="U593" s="6"/>
      <c r="V593" s="6"/>
      <c r="W593" s="6"/>
      <c r="X593" s="6"/>
      <c r="Y593" s="6"/>
      <c r="Z593" s="6"/>
    </row>
    <row r="594">
      <c r="A594" s="9"/>
      <c r="B594" s="9"/>
      <c r="C594" s="9"/>
      <c r="D594" s="6"/>
      <c r="E594" s="9"/>
      <c r="F594" s="6"/>
      <c r="G594" s="6"/>
      <c r="H594" s="6"/>
      <c r="I594" s="6"/>
      <c r="J594" s="6"/>
      <c r="K594" s="6"/>
      <c r="L594" s="6"/>
      <c r="M594" s="6"/>
      <c r="N594" s="6"/>
      <c r="O594" s="6"/>
      <c r="P594" s="6"/>
      <c r="Q594" s="6"/>
      <c r="R594" s="6"/>
      <c r="S594" s="6"/>
      <c r="T594" s="6"/>
      <c r="U594" s="6"/>
      <c r="V594" s="6"/>
      <c r="W594" s="6"/>
      <c r="X594" s="6"/>
      <c r="Y594" s="6"/>
      <c r="Z594" s="6"/>
    </row>
    <row r="595">
      <c r="A595" s="9"/>
      <c r="B595" s="9"/>
      <c r="C595" s="9"/>
      <c r="D595" s="6"/>
      <c r="E595" s="9"/>
      <c r="F595" s="6"/>
      <c r="G595" s="6"/>
      <c r="H595" s="6"/>
      <c r="I595" s="6"/>
      <c r="J595" s="6"/>
      <c r="K595" s="6"/>
      <c r="L595" s="6"/>
      <c r="M595" s="6"/>
      <c r="N595" s="6"/>
      <c r="O595" s="6"/>
      <c r="P595" s="6"/>
      <c r="Q595" s="6"/>
      <c r="R595" s="6"/>
      <c r="S595" s="6"/>
      <c r="T595" s="6"/>
      <c r="U595" s="6"/>
      <c r="V595" s="6"/>
      <c r="W595" s="6"/>
      <c r="X595" s="6"/>
      <c r="Y595" s="6"/>
      <c r="Z595" s="6"/>
    </row>
    <row r="596">
      <c r="A596" s="9"/>
      <c r="B596" s="9"/>
      <c r="C596" s="9"/>
      <c r="D596" s="6"/>
      <c r="E596" s="9"/>
      <c r="F596" s="6"/>
      <c r="G596" s="6"/>
      <c r="H596" s="6"/>
      <c r="I596" s="6"/>
      <c r="J596" s="6"/>
      <c r="K596" s="6"/>
      <c r="L596" s="6"/>
      <c r="M596" s="6"/>
      <c r="N596" s="6"/>
      <c r="O596" s="6"/>
      <c r="P596" s="6"/>
      <c r="Q596" s="6"/>
      <c r="R596" s="6"/>
      <c r="S596" s="6"/>
      <c r="T596" s="6"/>
      <c r="U596" s="6"/>
      <c r="V596" s="6"/>
      <c r="W596" s="6"/>
      <c r="X596" s="6"/>
      <c r="Y596" s="6"/>
      <c r="Z596" s="6"/>
    </row>
    <row r="597">
      <c r="A597" s="9"/>
      <c r="B597" s="9"/>
      <c r="C597" s="9"/>
      <c r="D597" s="6"/>
      <c r="E597" s="9"/>
      <c r="F597" s="6"/>
      <c r="G597" s="6"/>
      <c r="H597" s="6"/>
      <c r="I597" s="6"/>
      <c r="J597" s="6"/>
      <c r="K597" s="6"/>
      <c r="L597" s="6"/>
      <c r="M597" s="6"/>
      <c r="N597" s="6"/>
      <c r="O597" s="6"/>
      <c r="P597" s="6"/>
      <c r="Q597" s="6"/>
      <c r="R597" s="6"/>
      <c r="S597" s="6"/>
      <c r="T597" s="6"/>
      <c r="U597" s="6"/>
      <c r="V597" s="6"/>
      <c r="W597" s="6"/>
      <c r="X597" s="6"/>
      <c r="Y597" s="6"/>
      <c r="Z597" s="6"/>
    </row>
    <row r="598">
      <c r="A598" s="9"/>
      <c r="B598" s="9"/>
      <c r="C598" s="9"/>
      <c r="D598" s="6"/>
      <c r="E598" s="9"/>
      <c r="F598" s="6"/>
      <c r="G598" s="6"/>
      <c r="H598" s="6"/>
      <c r="I598" s="6"/>
      <c r="J598" s="6"/>
      <c r="K598" s="6"/>
      <c r="L598" s="6"/>
      <c r="M598" s="6"/>
      <c r="N598" s="6"/>
      <c r="O598" s="6"/>
      <c r="P598" s="6"/>
      <c r="Q598" s="6"/>
      <c r="R598" s="6"/>
      <c r="S598" s="6"/>
      <c r="T598" s="6"/>
      <c r="U598" s="6"/>
      <c r="V598" s="6"/>
      <c r="W598" s="6"/>
      <c r="X598" s="6"/>
      <c r="Y598" s="6"/>
      <c r="Z598" s="6"/>
    </row>
    <row r="599">
      <c r="A599" s="9"/>
      <c r="B599" s="9"/>
      <c r="C599" s="9"/>
      <c r="D599" s="6"/>
      <c r="E599" s="9"/>
      <c r="F599" s="6"/>
      <c r="G599" s="6"/>
      <c r="H599" s="6"/>
      <c r="I599" s="6"/>
      <c r="J599" s="6"/>
      <c r="K599" s="6"/>
      <c r="L599" s="6"/>
      <c r="M599" s="6"/>
      <c r="N599" s="6"/>
      <c r="O599" s="6"/>
      <c r="P599" s="6"/>
      <c r="Q599" s="6"/>
      <c r="R599" s="6"/>
      <c r="S599" s="6"/>
      <c r="T599" s="6"/>
      <c r="U599" s="6"/>
      <c r="V599" s="6"/>
      <c r="W599" s="6"/>
      <c r="X599" s="6"/>
      <c r="Y599" s="6"/>
      <c r="Z599" s="6"/>
    </row>
    <row r="600">
      <c r="A600" s="9"/>
      <c r="B600" s="9"/>
      <c r="C600" s="9"/>
      <c r="D600" s="6"/>
      <c r="E600" s="9"/>
      <c r="F600" s="6"/>
      <c r="G600" s="6"/>
      <c r="H600" s="6"/>
      <c r="I600" s="6"/>
      <c r="J600" s="6"/>
      <c r="K600" s="6"/>
      <c r="L600" s="6"/>
      <c r="M600" s="6"/>
      <c r="N600" s="6"/>
      <c r="O600" s="6"/>
      <c r="P600" s="6"/>
      <c r="Q600" s="6"/>
      <c r="R600" s="6"/>
      <c r="S600" s="6"/>
      <c r="T600" s="6"/>
      <c r="U600" s="6"/>
      <c r="V600" s="6"/>
      <c r="W600" s="6"/>
      <c r="X600" s="6"/>
      <c r="Y600" s="6"/>
      <c r="Z600" s="6"/>
    </row>
    <row r="601">
      <c r="A601" s="9"/>
      <c r="B601" s="9"/>
      <c r="C601" s="9"/>
      <c r="D601" s="6"/>
      <c r="E601" s="9"/>
      <c r="F601" s="6"/>
      <c r="G601" s="6"/>
      <c r="H601" s="6"/>
      <c r="I601" s="6"/>
      <c r="J601" s="6"/>
      <c r="K601" s="6"/>
      <c r="L601" s="6"/>
      <c r="M601" s="6"/>
      <c r="N601" s="6"/>
      <c r="O601" s="6"/>
      <c r="P601" s="6"/>
      <c r="Q601" s="6"/>
      <c r="R601" s="6"/>
      <c r="S601" s="6"/>
      <c r="T601" s="6"/>
      <c r="U601" s="6"/>
      <c r="V601" s="6"/>
      <c r="W601" s="6"/>
      <c r="X601" s="6"/>
      <c r="Y601" s="6"/>
      <c r="Z601" s="6"/>
    </row>
    <row r="602">
      <c r="A602" s="9"/>
      <c r="B602" s="9"/>
      <c r="C602" s="9"/>
      <c r="D602" s="6"/>
      <c r="E602" s="9"/>
      <c r="F602" s="6"/>
      <c r="G602" s="6"/>
      <c r="H602" s="6"/>
      <c r="I602" s="6"/>
      <c r="J602" s="6"/>
      <c r="K602" s="6"/>
      <c r="L602" s="6"/>
      <c r="M602" s="6"/>
      <c r="N602" s="6"/>
      <c r="O602" s="6"/>
      <c r="P602" s="6"/>
      <c r="Q602" s="6"/>
      <c r="R602" s="6"/>
      <c r="S602" s="6"/>
      <c r="T602" s="6"/>
      <c r="U602" s="6"/>
      <c r="V602" s="6"/>
      <c r="W602" s="6"/>
      <c r="X602" s="6"/>
      <c r="Y602" s="6"/>
      <c r="Z602" s="6"/>
    </row>
    <row r="603">
      <c r="A603" s="9"/>
      <c r="B603" s="9"/>
      <c r="C603" s="9"/>
      <c r="D603" s="6"/>
      <c r="E603" s="9"/>
      <c r="F603" s="6"/>
      <c r="G603" s="6"/>
      <c r="H603" s="6"/>
      <c r="I603" s="6"/>
      <c r="J603" s="6"/>
      <c r="K603" s="6"/>
      <c r="L603" s="6"/>
      <c r="M603" s="6"/>
      <c r="N603" s="6"/>
      <c r="O603" s="6"/>
      <c r="P603" s="6"/>
      <c r="Q603" s="6"/>
      <c r="R603" s="6"/>
      <c r="S603" s="6"/>
      <c r="T603" s="6"/>
      <c r="U603" s="6"/>
      <c r="V603" s="6"/>
      <c r="W603" s="6"/>
      <c r="X603" s="6"/>
      <c r="Y603" s="6"/>
      <c r="Z603" s="6"/>
    </row>
    <row r="604">
      <c r="A604" s="9"/>
      <c r="B604" s="9"/>
      <c r="C604" s="9"/>
      <c r="D604" s="6"/>
      <c r="E604" s="9"/>
      <c r="F604" s="6"/>
      <c r="G604" s="6"/>
      <c r="H604" s="6"/>
      <c r="I604" s="6"/>
      <c r="J604" s="6"/>
      <c r="K604" s="6"/>
      <c r="L604" s="6"/>
      <c r="M604" s="6"/>
      <c r="N604" s="6"/>
      <c r="O604" s="6"/>
      <c r="P604" s="6"/>
      <c r="Q604" s="6"/>
      <c r="R604" s="6"/>
      <c r="S604" s="6"/>
      <c r="T604" s="6"/>
      <c r="U604" s="6"/>
      <c r="V604" s="6"/>
      <c r="W604" s="6"/>
      <c r="X604" s="6"/>
      <c r="Y604" s="6"/>
      <c r="Z604" s="6"/>
    </row>
    <row r="605">
      <c r="A605" s="9"/>
      <c r="B605" s="9"/>
      <c r="C605" s="9"/>
      <c r="D605" s="6"/>
      <c r="E605" s="9"/>
      <c r="F605" s="6"/>
      <c r="G605" s="6"/>
      <c r="H605" s="6"/>
      <c r="I605" s="6"/>
      <c r="J605" s="6"/>
      <c r="K605" s="6"/>
      <c r="L605" s="6"/>
      <c r="M605" s="6"/>
      <c r="N605" s="6"/>
      <c r="O605" s="6"/>
      <c r="P605" s="6"/>
      <c r="Q605" s="6"/>
      <c r="R605" s="6"/>
      <c r="S605" s="6"/>
      <c r="T605" s="6"/>
      <c r="U605" s="6"/>
      <c r="V605" s="6"/>
      <c r="W605" s="6"/>
      <c r="X605" s="6"/>
      <c r="Y605" s="6"/>
      <c r="Z605" s="6"/>
    </row>
    <row r="606">
      <c r="A606" s="9"/>
      <c r="B606" s="9"/>
      <c r="C606" s="9"/>
      <c r="D606" s="6"/>
      <c r="E606" s="9"/>
      <c r="F606" s="6"/>
      <c r="G606" s="6"/>
      <c r="H606" s="6"/>
      <c r="I606" s="6"/>
      <c r="J606" s="6"/>
      <c r="K606" s="6"/>
      <c r="L606" s="6"/>
      <c r="M606" s="6"/>
      <c r="N606" s="6"/>
      <c r="O606" s="6"/>
      <c r="P606" s="6"/>
      <c r="Q606" s="6"/>
      <c r="R606" s="6"/>
      <c r="S606" s="6"/>
      <c r="T606" s="6"/>
      <c r="U606" s="6"/>
      <c r="V606" s="6"/>
      <c r="W606" s="6"/>
      <c r="X606" s="6"/>
      <c r="Y606" s="6"/>
      <c r="Z606" s="6"/>
    </row>
    <row r="607">
      <c r="A607" s="9"/>
      <c r="B607" s="9"/>
      <c r="C607" s="9"/>
      <c r="D607" s="6"/>
      <c r="E607" s="9"/>
      <c r="F607" s="6"/>
      <c r="G607" s="6"/>
      <c r="H607" s="6"/>
      <c r="I607" s="6"/>
      <c r="J607" s="6"/>
      <c r="K607" s="6"/>
      <c r="L607" s="6"/>
      <c r="M607" s="6"/>
      <c r="N607" s="6"/>
      <c r="O607" s="6"/>
      <c r="P607" s="6"/>
      <c r="Q607" s="6"/>
      <c r="R607" s="6"/>
      <c r="S607" s="6"/>
      <c r="T607" s="6"/>
      <c r="U607" s="6"/>
      <c r="V607" s="6"/>
      <c r="W607" s="6"/>
      <c r="X607" s="6"/>
      <c r="Y607" s="6"/>
      <c r="Z607" s="6"/>
    </row>
    <row r="608">
      <c r="A608" s="9"/>
      <c r="B608" s="9"/>
      <c r="C608" s="9"/>
      <c r="D608" s="6"/>
      <c r="E608" s="9"/>
      <c r="F608" s="6"/>
      <c r="G608" s="6"/>
      <c r="H608" s="6"/>
      <c r="I608" s="6"/>
      <c r="J608" s="6"/>
      <c r="K608" s="6"/>
      <c r="L608" s="6"/>
      <c r="M608" s="6"/>
      <c r="N608" s="6"/>
      <c r="O608" s="6"/>
      <c r="P608" s="6"/>
      <c r="Q608" s="6"/>
      <c r="R608" s="6"/>
      <c r="S608" s="6"/>
      <c r="T608" s="6"/>
      <c r="U608" s="6"/>
      <c r="V608" s="6"/>
      <c r="W608" s="6"/>
      <c r="X608" s="6"/>
      <c r="Y608" s="6"/>
      <c r="Z608" s="6"/>
    </row>
    <row r="609">
      <c r="A609" s="9"/>
      <c r="B609" s="9"/>
      <c r="C609" s="9"/>
      <c r="D609" s="6"/>
      <c r="E609" s="9"/>
      <c r="F609" s="6"/>
      <c r="G609" s="6"/>
      <c r="H609" s="6"/>
      <c r="I609" s="6"/>
      <c r="J609" s="6"/>
      <c r="K609" s="6"/>
      <c r="L609" s="6"/>
      <c r="M609" s="6"/>
      <c r="N609" s="6"/>
      <c r="O609" s="6"/>
      <c r="P609" s="6"/>
      <c r="Q609" s="6"/>
      <c r="R609" s="6"/>
      <c r="S609" s="6"/>
      <c r="T609" s="6"/>
      <c r="U609" s="6"/>
      <c r="V609" s="6"/>
      <c r="W609" s="6"/>
      <c r="X609" s="6"/>
      <c r="Y609" s="6"/>
      <c r="Z609" s="6"/>
    </row>
    <row r="610">
      <c r="A610" s="9"/>
      <c r="B610" s="9"/>
      <c r="C610" s="9"/>
      <c r="D610" s="6"/>
      <c r="E610" s="9"/>
      <c r="F610" s="6"/>
      <c r="G610" s="6"/>
      <c r="H610" s="6"/>
      <c r="I610" s="6"/>
      <c r="J610" s="6"/>
      <c r="K610" s="6"/>
      <c r="L610" s="6"/>
      <c r="M610" s="6"/>
      <c r="N610" s="6"/>
      <c r="O610" s="6"/>
      <c r="P610" s="6"/>
      <c r="Q610" s="6"/>
      <c r="R610" s="6"/>
      <c r="S610" s="6"/>
      <c r="T610" s="6"/>
      <c r="U610" s="6"/>
      <c r="V610" s="6"/>
      <c r="W610" s="6"/>
      <c r="X610" s="6"/>
      <c r="Y610" s="6"/>
      <c r="Z610" s="6"/>
    </row>
    <row r="611">
      <c r="A611" s="9"/>
      <c r="B611" s="9"/>
      <c r="C611" s="9"/>
      <c r="D611" s="6"/>
      <c r="E611" s="9"/>
      <c r="F611" s="6"/>
      <c r="G611" s="6"/>
      <c r="H611" s="6"/>
      <c r="I611" s="6"/>
      <c r="J611" s="6"/>
      <c r="K611" s="6"/>
      <c r="L611" s="6"/>
      <c r="M611" s="6"/>
      <c r="N611" s="6"/>
      <c r="O611" s="6"/>
      <c r="P611" s="6"/>
      <c r="Q611" s="6"/>
      <c r="R611" s="6"/>
      <c r="S611" s="6"/>
      <c r="T611" s="6"/>
      <c r="U611" s="6"/>
      <c r="V611" s="6"/>
      <c r="W611" s="6"/>
      <c r="X611" s="6"/>
      <c r="Y611" s="6"/>
      <c r="Z611" s="6"/>
    </row>
    <row r="612">
      <c r="A612" s="9"/>
      <c r="B612" s="9"/>
      <c r="C612" s="9"/>
      <c r="D612" s="6"/>
      <c r="E612" s="9"/>
      <c r="F612" s="6"/>
      <c r="G612" s="6"/>
      <c r="H612" s="6"/>
      <c r="I612" s="6"/>
      <c r="J612" s="6"/>
      <c r="K612" s="6"/>
      <c r="L612" s="6"/>
      <c r="M612" s="6"/>
      <c r="N612" s="6"/>
      <c r="O612" s="6"/>
      <c r="P612" s="6"/>
      <c r="Q612" s="6"/>
      <c r="R612" s="6"/>
      <c r="S612" s="6"/>
      <c r="T612" s="6"/>
      <c r="U612" s="6"/>
      <c r="V612" s="6"/>
      <c r="W612" s="6"/>
      <c r="X612" s="6"/>
      <c r="Y612" s="6"/>
      <c r="Z612" s="6"/>
    </row>
    <row r="613">
      <c r="A613" s="9"/>
      <c r="B613" s="9"/>
      <c r="C613" s="9"/>
      <c r="D613" s="6"/>
      <c r="E613" s="9"/>
      <c r="F613" s="6"/>
      <c r="G613" s="6"/>
      <c r="H613" s="6"/>
      <c r="I613" s="6"/>
      <c r="J613" s="6"/>
      <c r="K613" s="6"/>
      <c r="L613" s="6"/>
      <c r="M613" s="6"/>
      <c r="N613" s="6"/>
      <c r="O613" s="6"/>
      <c r="P613" s="6"/>
      <c r="Q613" s="6"/>
      <c r="R613" s="6"/>
      <c r="S613" s="6"/>
      <c r="T613" s="6"/>
      <c r="U613" s="6"/>
      <c r="V613" s="6"/>
      <c r="W613" s="6"/>
      <c r="X613" s="6"/>
      <c r="Y613" s="6"/>
      <c r="Z613" s="6"/>
    </row>
    <row r="614">
      <c r="A614" s="9"/>
      <c r="B614" s="9"/>
      <c r="C614" s="9"/>
      <c r="D614" s="6"/>
      <c r="E614" s="9"/>
      <c r="F614" s="6"/>
      <c r="G614" s="6"/>
      <c r="H614" s="6"/>
      <c r="I614" s="6"/>
      <c r="J614" s="6"/>
      <c r="K614" s="6"/>
      <c r="L614" s="6"/>
      <c r="M614" s="6"/>
      <c r="N614" s="6"/>
      <c r="O614" s="6"/>
      <c r="P614" s="6"/>
      <c r="Q614" s="6"/>
      <c r="R614" s="6"/>
      <c r="S614" s="6"/>
      <c r="T614" s="6"/>
      <c r="U614" s="6"/>
      <c r="V614" s="6"/>
      <c r="W614" s="6"/>
      <c r="X614" s="6"/>
      <c r="Y614" s="6"/>
      <c r="Z614" s="6"/>
    </row>
    <row r="615">
      <c r="A615" s="9"/>
      <c r="B615" s="9"/>
      <c r="C615" s="9"/>
      <c r="D615" s="6"/>
      <c r="E615" s="9"/>
      <c r="F615" s="6"/>
      <c r="G615" s="6"/>
      <c r="H615" s="6"/>
      <c r="I615" s="6"/>
      <c r="J615" s="6"/>
      <c r="K615" s="6"/>
      <c r="L615" s="6"/>
      <c r="M615" s="6"/>
      <c r="N615" s="6"/>
      <c r="O615" s="6"/>
      <c r="P615" s="6"/>
      <c r="Q615" s="6"/>
      <c r="R615" s="6"/>
      <c r="S615" s="6"/>
      <c r="T615" s="6"/>
      <c r="U615" s="6"/>
      <c r="V615" s="6"/>
      <c r="W615" s="6"/>
      <c r="X615" s="6"/>
      <c r="Y615" s="6"/>
      <c r="Z615" s="6"/>
    </row>
    <row r="616">
      <c r="A616" s="9"/>
      <c r="B616" s="9"/>
      <c r="C616" s="9"/>
      <c r="D616" s="6"/>
      <c r="E616" s="9"/>
      <c r="F616" s="6"/>
      <c r="G616" s="6"/>
      <c r="H616" s="6"/>
      <c r="I616" s="6"/>
      <c r="J616" s="6"/>
      <c r="K616" s="6"/>
      <c r="L616" s="6"/>
      <c r="M616" s="6"/>
      <c r="N616" s="6"/>
      <c r="O616" s="6"/>
      <c r="P616" s="6"/>
      <c r="Q616" s="6"/>
      <c r="R616" s="6"/>
      <c r="S616" s="6"/>
      <c r="T616" s="6"/>
      <c r="U616" s="6"/>
      <c r="V616" s="6"/>
      <c r="W616" s="6"/>
      <c r="X616" s="6"/>
      <c r="Y616" s="6"/>
      <c r="Z616" s="6"/>
    </row>
    <row r="617">
      <c r="A617" s="9"/>
      <c r="B617" s="9"/>
      <c r="C617" s="9"/>
      <c r="D617" s="6"/>
      <c r="E617" s="9"/>
      <c r="F617" s="6"/>
      <c r="G617" s="6"/>
      <c r="H617" s="6"/>
      <c r="I617" s="6"/>
      <c r="J617" s="6"/>
      <c r="K617" s="6"/>
      <c r="L617" s="6"/>
      <c r="M617" s="6"/>
      <c r="N617" s="6"/>
      <c r="O617" s="6"/>
      <c r="P617" s="6"/>
      <c r="Q617" s="6"/>
      <c r="R617" s="6"/>
      <c r="S617" s="6"/>
      <c r="T617" s="6"/>
      <c r="U617" s="6"/>
      <c r="V617" s="6"/>
      <c r="W617" s="6"/>
      <c r="X617" s="6"/>
      <c r="Y617" s="6"/>
      <c r="Z617" s="6"/>
    </row>
    <row r="618">
      <c r="A618" s="9"/>
      <c r="B618" s="9"/>
      <c r="C618" s="9"/>
      <c r="D618" s="6"/>
      <c r="E618" s="9"/>
      <c r="F618" s="6"/>
      <c r="G618" s="6"/>
      <c r="H618" s="6"/>
      <c r="I618" s="6"/>
      <c r="J618" s="6"/>
      <c r="K618" s="6"/>
      <c r="L618" s="6"/>
      <c r="M618" s="6"/>
      <c r="N618" s="6"/>
      <c r="O618" s="6"/>
      <c r="P618" s="6"/>
      <c r="Q618" s="6"/>
      <c r="R618" s="6"/>
      <c r="S618" s="6"/>
      <c r="T618" s="6"/>
      <c r="U618" s="6"/>
      <c r="V618" s="6"/>
      <c r="W618" s="6"/>
      <c r="X618" s="6"/>
      <c r="Y618" s="6"/>
      <c r="Z618" s="6"/>
    </row>
    <row r="619">
      <c r="A619" s="9"/>
      <c r="B619" s="9"/>
      <c r="C619" s="9"/>
      <c r="D619" s="6"/>
      <c r="E619" s="9"/>
      <c r="F619" s="6"/>
      <c r="G619" s="6"/>
      <c r="H619" s="6"/>
      <c r="I619" s="6"/>
      <c r="J619" s="6"/>
      <c r="K619" s="6"/>
      <c r="L619" s="6"/>
      <c r="M619" s="6"/>
      <c r="N619" s="6"/>
      <c r="O619" s="6"/>
      <c r="P619" s="6"/>
      <c r="Q619" s="6"/>
      <c r="R619" s="6"/>
      <c r="S619" s="6"/>
      <c r="T619" s="6"/>
      <c r="U619" s="6"/>
      <c r="V619" s="6"/>
      <c r="W619" s="6"/>
      <c r="X619" s="6"/>
      <c r="Y619" s="6"/>
      <c r="Z619" s="6"/>
    </row>
    <row r="620">
      <c r="A620" s="9"/>
      <c r="B620" s="9"/>
      <c r="C620" s="9"/>
      <c r="D620" s="6"/>
      <c r="E620" s="9"/>
      <c r="F620" s="6"/>
      <c r="G620" s="6"/>
      <c r="H620" s="6"/>
      <c r="I620" s="6"/>
      <c r="J620" s="6"/>
      <c r="K620" s="6"/>
      <c r="L620" s="6"/>
      <c r="M620" s="6"/>
      <c r="N620" s="6"/>
      <c r="O620" s="6"/>
      <c r="P620" s="6"/>
      <c r="Q620" s="6"/>
      <c r="R620" s="6"/>
      <c r="S620" s="6"/>
      <c r="T620" s="6"/>
      <c r="U620" s="6"/>
      <c r="V620" s="6"/>
      <c r="W620" s="6"/>
      <c r="X620" s="6"/>
      <c r="Y620" s="6"/>
      <c r="Z620" s="6"/>
    </row>
    <row r="621">
      <c r="A621" s="9"/>
      <c r="B621" s="9"/>
      <c r="C621" s="9"/>
      <c r="D621" s="6"/>
      <c r="E621" s="9"/>
      <c r="F621" s="6"/>
      <c r="G621" s="6"/>
      <c r="H621" s="6"/>
      <c r="I621" s="6"/>
      <c r="J621" s="6"/>
      <c r="K621" s="6"/>
      <c r="L621" s="6"/>
      <c r="M621" s="6"/>
      <c r="N621" s="6"/>
      <c r="O621" s="6"/>
      <c r="P621" s="6"/>
      <c r="Q621" s="6"/>
      <c r="R621" s="6"/>
      <c r="S621" s="6"/>
      <c r="T621" s="6"/>
      <c r="U621" s="6"/>
      <c r="V621" s="6"/>
      <c r="W621" s="6"/>
      <c r="X621" s="6"/>
      <c r="Y621" s="6"/>
      <c r="Z621" s="6"/>
    </row>
    <row r="622">
      <c r="A622" s="9"/>
      <c r="B622" s="9"/>
      <c r="C622" s="9"/>
      <c r="D622" s="6"/>
      <c r="E622" s="9"/>
      <c r="F622" s="6"/>
      <c r="G622" s="6"/>
      <c r="H622" s="6"/>
      <c r="I622" s="6"/>
      <c r="J622" s="6"/>
      <c r="K622" s="6"/>
      <c r="L622" s="6"/>
      <c r="M622" s="6"/>
      <c r="N622" s="6"/>
      <c r="O622" s="6"/>
      <c r="P622" s="6"/>
      <c r="Q622" s="6"/>
      <c r="R622" s="6"/>
      <c r="S622" s="6"/>
      <c r="T622" s="6"/>
      <c r="U622" s="6"/>
      <c r="V622" s="6"/>
      <c r="W622" s="6"/>
      <c r="X622" s="6"/>
      <c r="Y622" s="6"/>
      <c r="Z622" s="6"/>
    </row>
    <row r="623">
      <c r="A623" s="9"/>
      <c r="B623" s="9"/>
      <c r="C623" s="9"/>
      <c r="D623" s="6"/>
      <c r="E623" s="9"/>
      <c r="F623" s="6"/>
      <c r="G623" s="6"/>
      <c r="H623" s="6"/>
      <c r="I623" s="6"/>
      <c r="J623" s="6"/>
      <c r="K623" s="6"/>
      <c r="L623" s="6"/>
      <c r="M623" s="6"/>
      <c r="N623" s="6"/>
      <c r="O623" s="6"/>
      <c r="P623" s="6"/>
      <c r="Q623" s="6"/>
      <c r="R623" s="6"/>
      <c r="S623" s="6"/>
      <c r="T623" s="6"/>
      <c r="U623" s="6"/>
      <c r="V623" s="6"/>
      <c r="W623" s="6"/>
      <c r="X623" s="6"/>
      <c r="Y623" s="6"/>
      <c r="Z623" s="6"/>
    </row>
    <row r="624">
      <c r="A624" s="9"/>
      <c r="B624" s="9"/>
      <c r="C624" s="9"/>
      <c r="D624" s="6"/>
      <c r="E624" s="9"/>
      <c r="F624" s="6"/>
      <c r="G624" s="6"/>
      <c r="H624" s="6"/>
      <c r="I624" s="6"/>
      <c r="J624" s="6"/>
      <c r="K624" s="6"/>
      <c r="L624" s="6"/>
      <c r="M624" s="6"/>
      <c r="N624" s="6"/>
      <c r="O624" s="6"/>
      <c r="P624" s="6"/>
      <c r="Q624" s="6"/>
      <c r="R624" s="6"/>
      <c r="S624" s="6"/>
      <c r="T624" s="6"/>
      <c r="U624" s="6"/>
      <c r="V624" s="6"/>
      <c r="W624" s="6"/>
      <c r="X624" s="6"/>
      <c r="Y624" s="6"/>
      <c r="Z624" s="6"/>
    </row>
    <row r="625">
      <c r="A625" s="9"/>
      <c r="B625" s="9"/>
      <c r="C625" s="9"/>
      <c r="D625" s="6"/>
      <c r="E625" s="9"/>
      <c r="F625" s="6"/>
      <c r="G625" s="6"/>
      <c r="H625" s="6"/>
      <c r="I625" s="6"/>
      <c r="J625" s="6"/>
      <c r="K625" s="6"/>
      <c r="L625" s="6"/>
      <c r="M625" s="6"/>
      <c r="N625" s="6"/>
      <c r="O625" s="6"/>
      <c r="P625" s="6"/>
      <c r="Q625" s="6"/>
      <c r="R625" s="6"/>
      <c r="S625" s="6"/>
      <c r="T625" s="6"/>
      <c r="U625" s="6"/>
      <c r="V625" s="6"/>
      <c r="W625" s="6"/>
      <c r="X625" s="6"/>
      <c r="Y625" s="6"/>
      <c r="Z625" s="6"/>
    </row>
    <row r="626">
      <c r="A626" s="9"/>
      <c r="B626" s="9"/>
      <c r="C626" s="9"/>
      <c r="D626" s="6"/>
      <c r="E626" s="9"/>
      <c r="F626" s="6"/>
      <c r="G626" s="6"/>
      <c r="H626" s="6"/>
      <c r="I626" s="6"/>
      <c r="J626" s="6"/>
      <c r="K626" s="6"/>
      <c r="L626" s="6"/>
      <c r="M626" s="6"/>
      <c r="N626" s="6"/>
      <c r="O626" s="6"/>
      <c r="P626" s="6"/>
      <c r="Q626" s="6"/>
      <c r="R626" s="6"/>
      <c r="S626" s="6"/>
      <c r="T626" s="6"/>
      <c r="U626" s="6"/>
      <c r="V626" s="6"/>
      <c r="W626" s="6"/>
      <c r="X626" s="6"/>
      <c r="Y626" s="6"/>
      <c r="Z626" s="6"/>
    </row>
    <row r="627">
      <c r="A627" s="9"/>
      <c r="B627" s="9"/>
      <c r="C627" s="9"/>
      <c r="D627" s="6"/>
      <c r="E627" s="9"/>
      <c r="F627" s="6"/>
      <c r="G627" s="6"/>
      <c r="H627" s="6"/>
      <c r="I627" s="6"/>
      <c r="J627" s="6"/>
      <c r="K627" s="6"/>
      <c r="L627" s="6"/>
      <c r="M627" s="6"/>
      <c r="N627" s="6"/>
      <c r="O627" s="6"/>
      <c r="P627" s="6"/>
      <c r="Q627" s="6"/>
      <c r="R627" s="6"/>
      <c r="S627" s="6"/>
      <c r="T627" s="6"/>
      <c r="U627" s="6"/>
      <c r="V627" s="6"/>
      <c r="W627" s="6"/>
      <c r="X627" s="6"/>
      <c r="Y627" s="6"/>
      <c r="Z627" s="6"/>
    </row>
    <row r="628">
      <c r="A628" s="9"/>
      <c r="B628" s="9"/>
      <c r="C628" s="9"/>
      <c r="D628" s="6"/>
      <c r="E628" s="9"/>
      <c r="F628" s="6"/>
      <c r="G628" s="6"/>
      <c r="H628" s="6"/>
      <c r="I628" s="6"/>
      <c r="J628" s="6"/>
      <c r="K628" s="6"/>
      <c r="L628" s="6"/>
      <c r="M628" s="6"/>
      <c r="N628" s="6"/>
      <c r="O628" s="6"/>
      <c r="P628" s="6"/>
      <c r="Q628" s="6"/>
      <c r="R628" s="6"/>
      <c r="S628" s="6"/>
      <c r="T628" s="6"/>
      <c r="U628" s="6"/>
      <c r="V628" s="6"/>
      <c r="W628" s="6"/>
      <c r="X628" s="6"/>
      <c r="Y628" s="6"/>
      <c r="Z628" s="6"/>
    </row>
    <row r="629">
      <c r="A629" s="9"/>
      <c r="B629" s="9"/>
      <c r="C629" s="9"/>
      <c r="D629" s="6"/>
      <c r="E629" s="9"/>
      <c r="F629" s="6"/>
      <c r="G629" s="6"/>
      <c r="H629" s="6"/>
      <c r="I629" s="6"/>
      <c r="J629" s="6"/>
      <c r="K629" s="6"/>
      <c r="L629" s="6"/>
      <c r="M629" s="6"/>
      <c r="N629" s="6"/>
      <c r="O629" s="6"/>
      <c r="P629" s="6"/>
      <c r="Q629" s="6"/>
      <c r="R629" s="6"/>
      <c r="S629" s="6"/>
      <c r="T629" s="6"/>
      <c r="U629" s="6"/>
      <c r="V629" s="6"/>
      <c r="W629" s="6"/>
      <c r="X629" s="6"/>
      <c r="Y629" s="6"/>
      <c r="Z629" s="6"/>
    </row>
    <row r="630">
      <c r="A630" s="9"/>
      <c r="B630" s="9"/>
      <c r="C630" s="9"/>
      <c r="D630" s="6"/>
      <c r="E630" s="9"/>
      <c r="F630" s="6"/>
      <c r="G630" s="6"/>
      <c r="H630" s="6"/>
      <c r="I630" s="6"/>
      <c r="J630" s="6"/>
      <c r="K630" s="6"/>
      <c r="L630" s="6"/>
      <c r="M630" s="6"/>
      <c r="N630" s="6"/>
      <c r="O630" s="6"/>
      <c r="P630" s="6"/>
      <c r="Q630" s="6"/>
      <c r="R630" s="6"/>
      <c r="S630" s="6"/>
      <c r="T630" s="6"/>
      <c r="U630" s="6"/>
      <c r="V630" s="6"/>
      <c r="W630" s="6"/>
      <c r="X630" s="6"/>
      <c r="Y630" s="6"/>
      <c r="Z630" s="6"/>
    </row>
    <row r="631">
      <c r="A631" s="9"/>
      <c r="B631" s="9"/>
      <c r="C631" s="9"/>
      <c r="D631" s="6"/>
      <c r="E631" s="9"/>
      <c r="F631" s="6"/>
      <c r="G631" s="6"/>
      <c r="H631" s="6"/>
      <c r="I631" s="6"/>
      <c r="J631" s="6"/>
      <c r="K631" s="6"/>
      <c r="L631" s="6"/>
      <c r="M631" s="6"/>
      <c r="N631" s="6"/>
      <c r="O631" s="6"/>
      <c r="P631" s="6"/>
      <c r="Q631" s="6"/>
      <c r="R631" s="6"/>
      <c r="S631" s="6"/>
      <c r="T631" s="6"/>
      <c r="U631" s="6"/>
      <c r="V631" s="6"/>
      <c r="W631" s="6"/>
      <c r="X631" s="6"/>
      <c r="Y631" s="6"/>
      <c r="Z631" s="6"/>
    </row>
    <row r="632">
      <c r="A632" s="9"/>
      <c r="B632" s="9"/>
      <c r="C632" s="9"/>
      <c r="D632" s="6"/>
      <c r="E632" s="9"/>
      <c r="F632" s="6"/>
      <c r="G632" s="6"/>
      <c r="H632" s="6"/>
      <c r="I632" s="6"/>
      <c r="J632" s="6"/>
      <c r="K632" s="6"/>
      <c r="L632" s="6"/>
      <c r="M632" s="6"/>
      <c r="N632" s="6"/>
      <c r="O632" s="6"/>
      <c r="P632" s="6"/>
      <c r="Q632" s="6"/>
      <c r="R632" s="6"/>
      <c r="S632" s="6"/>
      <c r="T632" s="6"/>
      <c r="U632" s="6"/>
      <c r="V632" s="6"/>
      <c r="W632" s="6"/>
      <c r="X632" s="6"/>
      <c r="Y632" s="6"/>
      <c r="Z632" s="6"/>
    </row>
    <row r="633">
      <c r="A633" s="9"/>
      <c r="B633" s="9"/>
      <c r="C633" s="9"/>
      <c r="D633" s="6"/>
      <c r="E633" s="9"/>
      <c r="F633" s="6"/>
      <c r="G633" s="6"/>
      <c r="H633" s="6"/>
      <c r="I633" s="6"/>
      <c r="J633" s="6"/>
      <c r="K633" s="6"/>
      <c r="L633" s="6"/>
      <c r="M633" s="6"/>
      <c r="N633" s="6"/>
      <c r="O633" s="6"/>
      <c r="P633" s="6"/>
      <c r="Q633" s="6"/>
      <c r="R633" s="6"/>
      <c r="S633" s="6"/>
      <c r="T633" s="6"/>
      <c r="U633" s="6"/>
      <c r="V633" s="6"/>
      <c r="W633" s="6"/>
      <c r="X633" s="6"/>
      <c r="Y633" s="6"/>
      <c r="Z633" s="6"/>
    </row>
    <row r="634">
      <c r="A634" s="9"/>
      <c r="B634" s="9"/>
      <c r="C634" s="9"/>
      <c r="D634" s="6"/>
      <c r="E634" s="9"/>
      <c r="F634" s="6"/>
      <c r="G634" s="6"/>
      <c r="H634" s="6"/>
      <c r="I634" s="6"/>
      <c r="J634" s="6"/>
      <c r="K634" s="6"/>
      <c r="L634" s="6"/>
      <c r="M634" s="6"/>
      <c r="N634" s="6"/>
      <c r="O634" s="6"/>
      <c r="P634" s="6"/>
      <c r="Q634" s="6"/>
      <c r="R634" s="6"/>
      <c r="S634" s="6"/>
      <c r="T634" s="6"/>
      <c r="U634" s="6"/>
      <c r="V634" s="6"/>
      <c r="W634" s="6"/>
      <c r="X634" s="6"/>
      <c r="Y634" s="6"/>
      <c r="Z634" s="6"/>
    </row>
    <row r="635">
      <c r="A635" s="9"/>
      <c r="B635" s="9"/>
      <c r="C635" s="9"/>
      <c r="D635" s="6"/>
      <c r="E635" s="9"/>
      <c r="F635" s="6"/>
      <c r="G635" s="6"/>
      <c r="H635" s="6"/>
      <c r="I635" s="6"/>
      <c r="J635" s="6"/>
      <c r="K635" s="6"/>
      <c r="L635" s="6"/>
      <c r="M635" s="6"/>
      <c r="N635" s="6"/>
      <c r="O635" s="6"/>
      <c r="P635" s="6"/>
      <c r="Q635" s="6"/>
      <c r="R635" s="6"/>
      <c r="S635" s="6"/>
      <c r="T635" s="6"/>
      <c r="U635" s="6"/>
      <c r="V635" s="6"/>
      <c r="W635" s="6"/>
      <c r="X635" s="6"/>
      <c r="Y635" s="6"/>
      <c r="Z635" s="6"/>
    </row>
    <row r="636">
      <c r="A636" s="9"/>
      <c r="B636" s="9"/>
      <c r="C636" s="9"/>
      <c r="D636" s="6"/>
      <c r="E636" s="9"/>
      <c r="F636" s="6"/>
      <c r="G636" s="6"/>
      <c r="H636" s="6"/>
      <c r="I636" s="6"/>
      <c r="J636" s="6"/>
      <c r="K636" s="6"/>
      <c r="L636" s="6"/>
      <c r="M636" s="6"/>
      <c r="N636" s="6"/>
      <c r="O636" s="6"/>
      <c r="P636" s="6"/>
      <c r="Q636" s="6"/>
      <c r="R636" s="6"/>
      <c r="S636" s="6"/>
      <c r="T636" s="6"/>
      <c r="U636" s="6"/>
      <c r="V636" s="6"/>
      <c r="W636" s="6"/>
      <c r="X636" s="6"/>
      <c r="Y636" s="6"/>
      <c r="Z636" s="6"/>
    </row>
    <row r="637">
      <c r="A637" s="9"/>
      <c r="B637" s="9"/>
      <c r="C637" s="9"/>
      <c r="D637" s="6"/>
      <c r="E637" s="9"/>
      <c r="F637" s="6"/>
      <c r="G637" s="6"/>
      <c r="H637" s="6"/>
      <c r="I637" s="6"/>
      <c r="J637" s="6"/>
      <c r="K637" s="6"/>
      <c r="L637" s="6"/>
      <c r="M637" s="6"/>
      <c r="N637" s="6"/>
      <c r="O637" s="6"/>
      <c r="P637" s="6"/>
      <c r="Q637" s="6"/>
      <c r="R637" s="6"/>
      <c r="S637" s="6"/>
      <c r="T637" s="6"/>
      <c r="U637" s="6"/>
      <c r="V637" s="6"/>
      <c r="W637" s="6"/>
      <c r="X637" s="6"/>
      <c r="Y637" s="6"/>
      <c r="Z637" s="6"/>
    </row>
    <row r="638">
      <c r="A638" s="9"/>
      <c r="B638" s="9"/>
      <c r="C638" s="9"/>
      <c r="D638" s="6"/>
      <c r="E638" s="9"/>
      <c r="F638" s="6"/>
      <c r="G638" s="6"/>
      <c r="H638" s="6"/>
      <c r="I638" s="6"/>
      <c r="J638" s="6"/>
      <c r="K638" s="6"/>
      <c r="L638" s="6"/>
      <c r="M638" s="6"/>
      <c r="N638" s="6"/>
      <c r="O638" s="6"/>
      <c r="P638" s="6"/>
      <c r="Q638" s="6"/>
      <c r="R638" s="6"/>
      <c r="S638" s="6"/>
      <c r="T638" s="6"/>
      <c r="U638" s="6"/>
      <c r="V638" s="6"/>
      <c r="W638" s="6"/>
      <c r="X638" s="6"/>
      <c r="Y638" s="6"/>
      <c r="Z638" s="6"/>
    </row>
    <row r="639">
      <c r="A639" s="9"/>
      <c r="B639" s="9"/>
      <c r="C639" s="9"/>
      <c r="D639" s="6"/>
      <c r="E639" s="9"/>
      <c r="F639" s="6"/>
      <c r="G639" s="6"/>
      <c r="H639" s="6"/>
      <c r="I639" s="6"/>
      <c r="J639" s="6"/>
      <c r="K639" s="6"/>
      <c r="L639" s="6"/>
      <c r="M639" s="6"/>
      <c r="N639" s="6"/>
      <c r="O639" s="6"/>
      <c r="P639" s="6"/>
      <c r="Q639" s="6"/>
      <c r="R639" s="6"/>
      <c r="S639" s="6"/>
      <c r="T639" s="6"/>
      <c r="U639" s="6"/>
      <c r="V639" s="6"/>
      <c r="W639" s="6"/>
      <c r="X639" s="6"/>
      <c r="Y639" s="6"/>
      <c r="Z639" s="6"/>
    </row>
    <row r="640">
      <c r="A640" s="9"/>
      <c r="B640" s="9"/>
      <c r="C640" s="9"/>
      <c r="D640" s="6"/>
      <c r="E640" s="9"/>
      <c r="F640" s="6"/>
      <c r="G640" s="6"/>
      <c r="H640" s="6"/>
      <c r="I640" s="6"/>
      <c r="J640" s="6"/>
      <c r="K640" s="6"/>
      <c r="L640" s="6"/>
      <c r="M640" s="6"/>
      <c r="N640" s="6"/>
      <c r="O640" s="6"/>
      <c r="P640" s="6"/>
      <c r="Q640" s="6"/>
      <c r="R640" s="6"/>
      <c r="S640" s="6"/>
      <c r="T640" s="6"/>
      <c r="U640" s="6"/>
      <c r="V640" s="6"/>
      <c r="W640" s="6"/>
      <c r="X640" s="6"/>
      <c r="Y640" s="6"/>
      <c r="Z640" s="6"/>
    </row>
    <row r="641">
      <c r="A641" s="9"/>
      <c r="B641" s="9"/>
      <c r="C641" s="9"/>
      <c r="D641" s="6"/>
      <c r="E641" s="9"/>
      <c r="F641" s="6"/>
      <c r="G641" s="6"/>
      <c r="H641" s="6"/>
      <c r="I641" s="6"/>
      <c r="J641" s="6"/>
      <c r="K641" s="6"/>
      <c r="L641" s="6"/>
      <c r="M641" s="6"/>
      <c r="N641" s="6"/>
      <c r="O641" s="6"/>
      <c r="P641" s="6"/>
      <c r="Q641" s="6"/>
      <c r="R641" s="6"/>
      <c r="S641" s="6"/>
      <c r="T641" s="6"/>
      <c r="U641" s="6"/>
      <c r="V641" s="6"/>
      <c r="W641" s="6"/>
      <c r="X641" s="6"/>
      <c r="Y641" s="6"/>
      <c r="Z641" s="6"/>
    </row>
    <row r="642">
      <c r="A642" s="9"/>
      <c r="B642" s="9"/>
      <c r="C642" s="9"/>
      <c r="D642" s="6"/>
      <c r="E642" s="9"/>
      <c r="F642" s="6"/>
      <c r="G642" s="6"/>
      <c r="H642" s="6"/>
      <c r="I642" s="6"/>
      <c r="J642" s="6"/>
      <c r="K642" s="6"/>
      <c r="L642" s="6"/>
      <c r="M642" s="6"/>
      <c r="N642" s="6"/>
      <c r="O642" s="6"/>
      <c r="P642" s="6"/>
      <c r="Q642" s="6"/>
      <c r="R642" s="6"/>
      <c r="S642" s="6"/>
      <c r="T642" s="6"/>
      <c r="U642" s="6"/>
      <c r="V642" s="6"/>
      <c r="W642" s="6"/>
      <c r="X642" s="6"/>
      <c r="Y642" s="6"/>
      <c r="Z642" s="6"/>
    </row>
    <row r="643">
      <c r="A643" s="9"/>
      <c r="B643" s="9"/>
      <c r="C643" s="9"/>
      <c r="D643" s="6"/>
      <c r="E643" s="9"/>
      <c r="F643" s="6"/>
      <c r="G643" s="6"/>
      <c r="H643" s="6"/>
      <c r="I643" s="6"/>
      <c r="J643" s="6"/>
      <c r="K643" s="6"/>
      <c r="L643" s="6"/>
      <c r="M643" s="6"/>
      <c r="N643" s="6"/>
      <c r="O643" s="6"/>
      <c r="P643" s="6"/>
      <c r="Q643" s="6"/>
      <c r="R643" s="6"/>
      <c r="S643" s="6"/>
      <c r="T643" s="6"/>
      <c r="U643" s="6"/>
      <c r="V643" s="6"/>
      <c r="W643" s="6"/>
      <c r="X643" s="6"/>
      <c r="Y643" s="6"/>
      <c r="Z643" s="6"/>
    </row>
    <row r="644">
      <c r="A644" s="9"/>
      <c r="B644" s="9"/>
      <c r="C644" s="9"/>
      <c r="D644" s="6"/>
      <c r="E644" s="9"/>
      <c r="F644" s="6"/>
      <c r="G644" s="6"/>
      <c r="H644" s="6"/>
      <c r="I644" s="6"/>
      <c r="J644" s="6"/>
      <c r="K644" s="6"/>
      <c r="L644" s="6"/>
      <c r="M644" s="6"/>
      <c r="N644" s="6"/>
      <c r="O644" s="6"/>
      <c r="P644" s="6"/>
      <c r="Q644" s="6"/>
      <c r="R644" s="6"/>
      <c r="S644" s="6"/>
      <c r="T644" s="6"/>
      <c r="U644" s="6"/>
      <c r="V644" s="6"/>
      <c r="W644" s="6"/>
      <c r="X644" s="6"/>
      <c r="Y644" s="6"/>
      <c r="Z644" s="6"/>
    </row>
    <row r="645">
      <c r="A645" s="9"/>
      <c r="B645" s="9"/>
      <c r="C645" s="9"/>
      <c r="D645" s="6"/>
      <c r="E645" s="9"/>
      <c r="F645" s="6"/>
      <c r="G645" s="6"/>
      <c r="H645" s="6"/>
      <c r="I645" s="6"/>
      <c r="J645" s="6"/>
      <c r="K645" s="6"/>
      <c r="L645" s="6"/>
      <c r="M645" s="6"/>
      <c r="N645" s="6"/>
      <c r="O645" s="6"/>
      <c r="P645" s="6"/>
      <c r="Q645" s="6"/>
      <c r="R645" s="6"/>
      <c r="S645" s="6"/>
      <c r="T645" s="6"/>
      <c r="U645" s="6"/>
      <c r="V645" s="6"/>
      <c r="W645" s="6"/>
      <c r="X645" s="6"/>
      <c r="Y645" s="6"/>
      <c r="Z645" s="6"/>
    </row>
    <row r="646">
      <c r="A646" s="9"/>
      <c r="B646" s="9"/>
      <c r="C646" s="9"/>
      <c r="D646" s="6"/>
      <c r="E646" s="9"/>
      <c r="F646" s="6"/>
      <c r="G646" s="6"/>
      <c r="H646" s="6"/>
      <c r="I646" s="6"/>
      <c r="J646" s="6"/>
      <c r="K646" s="6"/>
      <c r="L646" s="6"/>
      <c r="M646" s="6"/>
      <c r="N646" s="6"/>
      <c r="O646" s="6"/>
      <c r="P646" s="6"/>
      <c r="Q646" s="6"/>
      <c r="R646" s="6"/>
      <c r="S646" s="6"/>
      <c r="T646" s="6"/>
      <c r="U646" s="6"/>
      <c r="V646" s="6"/>
      <c r="W646" s="6"/>
      <c r="X646" s="6"/>
      <c r="Y646" s="6"/>
      <c r="Z646" s="6"/>
    </row>
    <row r="647">
      <c r="A647" s="9"/>
      <c r="B647" s="9"/>
      <c r="C647" s="9"/>
      <c r="D647" s="6"/>
      <c r="E647" s="9"/>
      <c r="F647" s="6"/>
      <c r="G647" s="6"/>
      <c r="H647" s="6"/>
      <c r="I647" s="6"/>
      <c r="J647" s="6"/>
      <c r="K647" s="6"/>
      <c r="L647" s="6"/>
      <c r="M647" s="6"/>
      <c r="N647" s="6"/>
      <c r="O647" s="6"/>
      <c r="P647" s="6"/>
      <c r="Q647" s="6"/>
      <c r="R647" s="6"/>
      <c r="S647" s="6"/>
      <c r="T647" s="6"/>
      <c r="U647" s="6"/>
      <c r="V647" s="6"/>
      <c r="W647" s="6"/>
      <c r="X647" s="6"/>
      <c r="Y647" s="6"/>
      <c r="Z647" s="6"/>
    </row>
    <row r="648">
      <c r="A648" s="9"/>
      <c r="B648" s="9"/>
      <c r="C648" s="9"/>
      <c r="D648" s="6"/>
      <c r="E648" s="9"/>
      <c r="F648" s="6"/>
      <c r="G648" s="6"/>
      <c r="H648" s="6"/>
      <c r="I648" s="6"/>
      <c r="J648" s="6"/>
      <c r="K648" s="6"/>
      <c r="L648" s="6"/>
      <c r="M648" s="6"/>
      <c r="N648" s="6"/>
      <c r="O648" s="6"/>
      <c r="P648" s="6"/>
      <c r="Q648" s="6"/>
      <c r="R648" s="6"/>
      <c r="S648" s="6"/>
      <c r="T648" s="6"/>
      <c r="U648" s="6"/>
      <c r="V648" s="6"/>
      <c r="W648" s="6"/>
      <c r="X648" s="6"/>
      <c r="Y648" s="6"/>
      <c r="Z648" s="6"/>
    </row>
    <row r="649">
      <c r="A649" s="9"/>
      <c r="B649" s="9"/>
      <c r="C649" s="9"/>
      <c r="D649" s="6"/>
      <c r="E649" s="9"/>
      <c r="F649" s="6"/>
      <c r="G649" s="6"/>
      <c r="H649" s="6"/>
      <c r="I649" s="6"/>
      <c r="J649" s="6"/>
      <c r="K649" s="6"/>
      <c r="L649" s="6"/>
      <c r="M649" s="6"/>
      <c r="N649" s="6"/>
      <c r="O649" s="6"/>
      <c r="P649" s="6"/>
      <c r="Q649" s="6"/>
      <c r="R649" s="6"/>
      <c r="S649" s="6"/>
      <c r="T649" s="6"/>
      <c r="U649" s="6"/>
      <c r="V649" s="6"/>
      <c r="W649" s="6"/>
      <c r="X649" s="6"/>
      <c r="Y649" s="6"/>
      <c r="Z649" s="6"/>
    </row>
    <row r="650">
      <c r="A650" s="9"/>
      <c r="B650" s="9"/>
      <c r="C650" s="9"/>
      <c r="D650" s="6"/>
      <c r="E650" s="9"/>
      <c r="F650" s="6"/>
      <c r="G650" s="6"/>
      <c r="H650" s="6"/>
      <c r="I650" s="6"/>
      <c r="J650" s="6"/>
      <c r="K650" s="6"/>
      <c r="L650" s="6"/>
      <c r="M650" s="6"/>
      <c r="N650" s="6"/>
      <c r="O650" s="6"/>
      <c r="P650" s="6"/>
      <c r="Q650" s="6"/>
      <c r="R650" s="6"/>
      <c r="S650" s="6"/>
      <c r="T650" s="6"/>
      <c r="U650" s="6"/>
      <c r="V650" s="6"/>
      <c r="W650" s="6"/>
      <c r="X650" s="6"/>
      <c r="Y650" s="6"/>
      <c r="Z650" s="6"/>
    </row>
    <row r="651">
      <c r="A651" s="9"/>
      <c r="B651" s="9"/>
      <c r="C651" s="9"/>
      <c r="D651" s="6"/>
      <c r="E651" s="9"/>
      <c r="F651" s="6"/>
      <c r="G651" s="6"/>
      <c r="H651" s="6"/>
      <c r="I651" s="6"/>
      <c r="J651" s="6"/>
      <c r="K651" s="6"/>
      <c r="L651" s="6"/>
      <c r="M651" s="6"/>
      <c r="N651" s="6"/>
      <c r="O651" s="6"/>
      <c r="P651" s="6"/>
      <c r="Q651" s="6"/>
      <c r="R651" s="6"/>
      <c r="S651" s="6"/>
      <c r="T651" s="6"/>
      <c r="U651" s="6"/>
      <c r="V651" s="6"/>
      <c r="W651" s="6"/>
      <c r="X651" s="6"/>
      <c r="Y651" s="6"/>
      <c r="Z651" s="6"/>
    </row>
    <row r="652">
      <c r="A652" s="9"/>
      <c r="B652" s="9"/>
      <c r="C652" s="9"/>
      <c r="D652" s="6"/>
      <c r="E652" s="9"/>
      <c r="F652" s="6"/>
      <c r="G652" s="6"/>
      <c r="H652" s="6"/>
      <c r="I652" s="6"/>
      <c r="J652" s="6"/>
      <c r="K652" s="6"/>
      <c r="L652" s="6"/>
      <c r="M652" s="6"/>
      <c r="N652" s="6"/>
      <c r="O652" s="6"/>
      <c r="P652" s="6"/>
      <c r="Q652" s="6"/>
      <c r="R652" s="6"/>
      <c r="S652" s="6"/>
      <c r="T652" s="6"/>
      <c r="U652" s="6"/>
      <c r="V652" s="6"/>
      <c r="W652" s="6"/>
      <c r="X652" s="6"/>
      <c r="Y652" s="6"/>
      <c r="Z652" s="6"/>
    </row>
    <row r="653">
      <c r="A653" s="9"/>
      <c r="B653" s="9"/>
      <c r="C653" s="9"/>
      <c r="D653" s="6"/>
      <c r="E653" s="9"/>
      <c r="F653" s="6"/>
      <c r="G653" s="6"/>
      <c r="H653" s="6"/>
      <c r="I653" s="6"/>
      <c r="J653" s="6"/>
      <c r="K653" s="6"/>
      <c r="L653" s="6"/>
      <c r="M653" s="6"/>
      <c r="N653" s="6"/>
      <c r="O653" s="6"/>
      <c r="P653" s="6"/>
      <c r="Q653" s="6"/>
      <c r="R653" s="6"/>
      <c r="S653" s="6"/>
      <c r="T653" s="6"/>
      <c r="U653" s="6"/>
      <c r="V653" s="6"/>
      <c r="W653" s="6"/>
      <c r="X653" s="6"/>
      <c r="Y653" s="6"/>
      <c r="Z653" s="6"/>
    </row>
    <row r="654">
      <c r="A654" s="9"/>
      <c r="B654" s="9"/>
      <c r="C654" s="9"/>
      <c r="D654" s="6"/>
      <c r="E654" s="9"/>
      <c r="F654" s="6"/>
      <c r="G654" s="6"/>
      <c r="H654" s="6"/>
      <c r="I654" s="6"/>
      <c r="J654" s="6"/>
      <c r="K654" s="6"/>
      <c r="L654" s="6"/>
      <c r="M654" s="6"/>
      <c r="N654" s="6"/>
      <c r="O654" s="6"/>
      <c r="P654" s="6"/>
      <c r="Q654" s="6"/>
      <c r="R654" s="6"/>
      <c r="S654" s="6"/>
      <c r="T654" s="6"/>
      <c r="U654" s="6"/>
      <c r="V654" s="6"/>
      <c r="W654" s="6"/>
      <c r="X654" s="6"/>
      <c r="Y654" s="6"/>
      <c r="Z654" s="6"/>
    </row>
    <row r="655">
      <c r="A655" s="9"/>
      <c r="B655" s="9"/>
      <c r="C655" s="9"/>
      <c r="D655" s="6"/>
      <c r="E655" s="9"/>
      <c r="F655" s="6"/>
      <c r="G655" s="6"/>
      <c r="H655" s="6"/>
      <c r="I655" s="6"/>
      <c r="J655" s="6"/>
      <c r="K655" s="6"/>
      <c r="L655" s="6"/>
      <c r="M655" s="6"/>
      <c r="N655" s="6"/>
      <c r="O655" s="6"/>
      <c r="P655" s="6"/>
      <c r="Q655" s="6"/>
      <c r="R655" s="6"/>
      <c r="S655" s="6"/>
      <c r="T655" s="6"/>
      <c r="U655" s="6"/>
      <c r="V655" s="6"/>
      <c r="W655" s="6"/>
      <c r="X655" s="6"/>
      <c r="Y655" s="6"/>
      <c r="Z655" s="6"/>
    </row>
    <row r="656">
      <c r="A656" s="9"/>
      <c r="B656" s="9"/>
      <c r="C656" s="9"/>
      <c r="D656" s="6"/>
      <c r="E656" s="9"/>
      <c r="F656" s="6"/>
      <c r="G656" s="6"/>
      <c r="H656" s="6"/>
      <c r="I656" s="6"/>
      <c r="J656" s="6"/>
      <c r="K656" s="6"/>
      <c r="L656" s="6"/>
      <c r="M656" s="6"/>
      <c r="N656" s="6"/>
      <c r="O656" s="6"/>
      <c r="P656" s="6"/>
      <c r="Q656" s="6"/>
      <c r="R656" s="6"/>
      <c r="S656" s="6"/>
      <c r="T656" s="6"/>
      <c r="U656" s="6"/>
      <c r="V656" s="6"/>
      <c r="W656" s="6"/>
      <c r="X656" s="6"/>
      <c r="Y656" s="6"/>
      <c r="Z656" s="6"/>
    </row>
    <row r="657">
      <c r="A657" s="9"/>
      <c r="B657" s="9"/>
      <c r="C657" s="9"/>
      <c r="D657" s="6"/>
      <c r="E657" s="9"/>
      <c r="F657" s="6"/>
      <c r="G657" s="6"/>
      <c r="H657" s="6"/>
      <c r="I657" s="6"/>
      <c r="J657" s="6"/>
      <c r="K657" s="6"/>
      <c r="L657" s="6"/>
      <c r="M657" s="6"/>
      <c r="N657" s="6"/>
      <c r="O657" s="6"/>
      <c r="P657" s="6"/>
      <c r="Q657" s="6"/>
      <c r="R657" s="6"/>
      <c r="S657" s="6"/>
      <c r="T657" s="6"/>
      <c r="U657" s="6"/>
      <c r="V657" s="6"/>
      <c r="W657" s="6"/>
      <c r="X657" s="6"/>
      <c r="Y657" s="6"/>
      <c r="Z657" s="6"/>
    </row>
    <row r="658">
      <c r="A658" s="9"/>
      <c r="B658" s="9"/>
      <c r="C658" s="9"/>
      <c r="D658" s="6"/>
      <c r="E658" s="9"/>
      <c r="F658" s="6"/>
      <c r="G658" s="6"/>
      <c r="H658" s="6"/>
      <c r="I658" s="6"/>
      <c r="J658" s="6"/>
      <c r="K658" s="6"/>
      <c r="L658" s="6"/>
      <c r="M658" s="6"/>
      <c r="N658" s="6"/>
      <c r="O658" s="6"/>
      <c r="P658" s="6"/>
      <c r="Q658" s="6"/>
      <c r="R658" s="6"/>
      <c r="S658" s="6"/>
      <c r="T658" s="6"/>
      <c r="U658" s="6"/>
      <c r="V658" s="6"/>
      <c r="W658" s="6"/>
      <c r="X658" s="6"/>
      <c r="Y658" s="6"/>
      <c r="Z658" s="6"/>
    </row>
    <row r="659">
      <c r="A659" s="9"/>
      <c r="B659" s="9"/>
      <c r="C659" s="9"/>
      <c r="D659" s="6"/>
      <c r="E659" s="9"/>
      <c r="F659" s="6"/>
      <c r="G659" s="6"/>
      <c r="H659" s="6"/>
      <c r="I659" s="6"/>
      <c r="J659" s="6"/>
      <c r="K659" s="6"/>
      <c r="L659" s="6"/>
      <c r="M659" s="6"/>
      <c r="N659" s="6"/>
      <c r="O659" s="6"/>
      <c r="P659" s="6"/>
      <c r="Q659" s="6"/>
      <c r="R659" s="6"/>
      <c r="S659" s="6"/>
      <c r="T659" s="6"/>
      <c r="U659" s="6"/>
      <c r="V659" s="6"/>
      <c r="W659" s="6"/>
      <c r="X659" s="6"/>
      <c r="Y659" s="6"/>
      <c r="Z659" s="6"/>
    </row>
    <row r="660">
      <c r="A660" s="9"/>
      <c r="B660" s="9"/>
      <c r="C660" s="9"/>
      <c r="D660" s="6"/>
      <c r="E660" s="9"/>
      <c r="F660" s="6"/>
      <c r="G660" s="6"/>
      <c r="H660" s="6"/>
      <c r="I660" s="6"/>
      <c r="J660" s="6"/>
      <c r="K660" s="6"/>
      <c r="L660" s="6"/>
      <c r="M660" s="6"/>
      <c r="N660" s="6"/>
      <c r="O660" s="6"/>
      <c r="P660" s="6"/>
      <c r="Q660" s="6"/>
      <c r="R660" s="6"/>
      <c r="S660" s="6"/>
      <c r="T660" s="6"/>
      <c r="U660" s="6"/>
      <c r="V660" s="6"/>
      <c r="W660" s="6"/>
      <c r="X660" s="6"/>
      <c r="Y660" s="6"/>
      <c r="Z660" s="6"/>
    </row>
    <row r="661">
      <c r="A661" s="9"/>
      <c r="B661" s="9"/>
      <c r="C661" s="9"/>
      <c r="D661" s="6"/>
      <c r="E661" s="9"/>
      <c r="F661" s="6"/>
      <c r="G661" s="6"/>
      <c r="H661" s="6"/>
      <c r="I661" s="6"/>
      <c r="J661" s="6"/>
      <c r="K661" s="6"/>
      <c r="L661" s="6"/>
      <c r="M661" s="6"/>
      <c r="N661" s="6"/>
      <c r="O661" s="6"/>
      <c r="P661" s="6"/>
      <c r="Q661" s="6"/>
      <c r="R661" s="6"/>
      <c r="S661" s="6"/>
      <c r="T661" s="6"/>
      <c r="U661" s="6"/>
      <c r="V661" s="6"/>
      <c r="W661" s="6"/>
      <c r="X661" s="6"/>
      <c r="Y661" s="6"/>
      <c r="Z661" s="6"/>
    </row>
    <row r="662">
      <c r="A662" s="9"/>
      <c r="B662" s="9"/>
      <c r="C662" s="9"/>
      <c r="D662" s="6"/>
      <c r="E662" s="9"/>
      <c r="F662" s="6"/>
      <c r="G662" s="6"/>
      <c r="H662" s="6"/>
      <c r="I662" s="6"/>
      <c r="J662" s="6"/>
      <c r="K662" s="6"/>
      <c r="L662" s="6"/>
      <c r="M662" s="6"/>
      <c r="N662" s="6"/>
      <c r="O662" s="6"/>
      <c r="P662" s="6"/>
      <c r="Q662" s="6"/>
      <c r="R662" s="6"/>
      <c r="S662" s="6"/>
      <c r="T662" s="6"/>
      <c r="U662" s="6"/>
      <c r="V662" s="6"/>
      <c r="W662" s="6"/>
      <c r="X662" s="6"/>
      <c r="Y662" s="6"/>
      <c r="Z662" s="6"/>
    </row>
    <row r="663">
      <c r="A663" s="9"/>
      <c r="B663" s="9"/>
      <c r="C663" s="9"/>
      <c r="D663" s="6"/>
      <c r="E663" s="9"/>
      <c r="F663" s="6"/>
      <c r="G663" s="6"/>
      <c r="H663" s="6"/>
      <c r="I663" s="6"/>
      <c r="J663" s="6"/>
      <c r="K663" s="6"/>
      <c r="L663" s="6"/>
      <c r="M663" s="6"/>
      <c r="N663" s="6"/>
      <c r="O663" s="6"/>
      <c r="P663" s="6"/>
      <c r="Q663" s="6"/>
      <c r="R663" s="6"/>
      <c r="S663" s="6"/>
      <c r="T663" s="6"/>
      <c r="U663" s="6"/>
      <c r="V663" s="6"/>
      <c r="W663" s="6"/>
      <c r="X663" s="6"/>
      <c r="Y663" s="6"/>
      <c r="Z663" s="6"/>
    </row>
    <row r="664">
      <c r="A664" s="9"/>
      <c r="B664" s="9"/>
      <c r="C664" s="9"/>
      <c r="D664" s="6"/>
      <c r="E664" s="9"/>
      <c r="F664" s="6"/>
      <c r="G664" s="6"/>
      <c r="H664" s="6"/>
      <c r="I664" s="6"/>
      <c r="J664" s="6"/>
      <c r="K664" s="6"/>
      <c r="L664" s="6"/>
      <c r="M664" s="6"/>
      <c r="N664" s="6"/>
      <c r="O664" s="6"/>
      <c r="P664" s="6"/>
      <c r="Q664" s="6"/>
      <c r="R664" s="6"/>
      <c r="S664" s="6"/>
      <c r="T664" s="6"/>
      <c r="U664" s="6"/>
      <c r="V664" s="6"/>
      <c r="W664" s="6"/>
      <c r="X664" s="6"/>
      <c r="Y664" s="6"/>
      <c r="Z664" s="6"/>
    </row>
    <row r="665">
      <c r="A665" s="9"/>
      <c r="B665" s="9"/>
      <c r="C665" s="9"/>
      <c r="D665" s="6"/>
      <c r="E665" s="9"/>
      <c r="F665" s="6"/>
      <c r="G665" s="6"/>
      <c r="H665" s="6"/>
      <c r="I665" s="6"/>
      <c r="J665" s="6"/>
      <c r="K665" s="6"/>
      <c r="L665" s="6"/>
      <c r="M665" s="6"/>
      <c r="N665" s="6"/>
      <c r="O665" s="6"/>
      <c r="P665" s="6"/>
      <c r="Q665" s="6"/>
      <c r="R665" s="6"/>
      <c r="S665" s="6"/>
      <c r="T665" s="6"/>
      <c r="U665" s="6"/>
      <c r="V665" s="6"/>
      <c r="W665" s="6"/>
      <c r="X665" s="6"/>
      <c r="Y665" s="6"/>
      <c r="Z665" s="6"/>
    </row>
    <row r="666">
      <c r="A666" s="9"/>
      <c r="B666" s="9"/>
      <c r="C666" s="9"/>
      <c r="D666" s="6"/>
      <c r="E666" s="9"/>
      <c r="F666" s="6"/>
      <c r="G666" s="6"/>
      <c r="H666" s="6"/>
      <c r="I666" s="6"/>
      <c r="J666" s="6"/>
      <c r="K666" s="6"/>
      <c r="L666" s="6"/>
      <c r="M666" s="6"/>
      <c r="N666" s="6"/>
      <c r="O666" s="6"/>
      <c r="P666" s="6"/>
      <c r="Q666" s="6"/>
      <c r="R666" s="6"/>
      <c r="S666" s="6"/>
      <c r="T666" s="6"/>
      <c r="U666" s="6"/>
      <c r="V666" s="6"/>
      <c r="W666" s="6"/>
      <c r="X666" s="6"/>
      <c r="Y666" s="6"/>
      <c r="Z666" s="6"/>
    </row>
    <row r="667">
      <c r="A667" s="9"/>
      <c r="B667" s="9"/>
      <c r="C667" s="9"/>
      <c r="D667" s="6"/>
      <c r="E667" s="9"/>
      <c r="F667" s="6"/>
      <c r="G667" s="6"/>
      <c r="H667" s="6"/>
      <c r="I667" s="6"/>
      <c r="J667" s="6"/>
      <c r="K667" s="6"/>
      <c r="L667" s="6"/>
      <c r="M667" s="6"/>
      <c r="N667" s="6"/>
      <c r="O667" s="6"/>
      <c r="P667" s="6"/>
      <c r="Q667" s="6"/>
      <c r="R667" s="6"/>
      <c r="S667" s="6"/>
      <c r="T667" s="6"/>
      <c r="U667" s="6"/>
      <c r="V667" s="6"/>
      <c r="W667" s="6"/>
      <c r="X667" s="6"/>
      <c r="Y667" s="6"/>
      <c r="Z667" s="6"/>
    </row>
    <row r="668">
      <c r="A668" s="9"/>
      <c r="B668" s="9"/>
      <c r="C668" s="9"/>
      <c r="D668" s="6"/>
      <c r="E668" s="9"/>
      <c r="F668" s="6"/>
      <c r="G668" s="6"/>
      <c r="H668" s="6"/>
      <c r="I668" s="6"/>
      <c r="J668" s="6"/>
      <c r="K668" s="6"/>
      <c r="L668" s="6"/>
      <c r="M668" s="6"/>
      <c r="N668" s="6"/>
      <c r="O668" s="6"/>
      <c r="P668" s="6"/>
      <c r="Q668" s="6"/>
      <c r="R668" s="6"/>
      <c r="S668" s="6"/>
      <c r="T668" s="6"/>
      <c r="U668" s="6"/>
      <c r="V668" s="6"/>
      <c r="W668" s="6"/>
      <c r="X668" s="6"/>
      <c r="Y668" s="6"/>
      <c r="Z668" s="6"/>
    </row>
    <row r="669">
      <c r="A669" s="9"/>
      <c r="B669" s="9"/>
      <c r="C669" s="9"/>
      <c r="D669" s="6"/>
      <c r="E669" s="9"/>
      <c r="F669" s="6"/>
      <c r="G669" s="6"/>
      <c r="H669" s="6"/>
      <c r="I669" s="6"/>
      <c r="J669" s="6"/>
      <c r="K669" s="6"/>
      <c r="L669" s="6"/>
      <c r="M669" s="6"/>
      <c r="N669" s="6"/>
      <c r="O669" s="6"/>
      <c r="P669" s="6"/>
      <c r="Q669" s="6"/>
      <c r="R669" s="6"/>
      <c r="S669" s="6"/>
      <c r="T669" s="6"/>
      <c r="U669" s="6"/>
      <c r="V669" s="6"/>
      <c r="W669" s="6"/>
      <c r="X669" s="6"/>
      <c r="Y669" s="6"/>
      <c r="Z669" s="6"/>
    </row>
    <row r="670">
      <c r="A670" s="9"/>
      <c r="B670" s="9"/>
      <c r="C670" s="9"/>
      <c r="D670" s="6"/>
      <c r="E670" s="9"/>
      <c r="F670" s="6"/>
      <c r="G670" s="6"/>
      <c r="H670" s="6"/>
      <c r="I670" s="6"/>
      <c r="J670" s="6"/>
      <c r="K670" s="6"/>
      <c r="L670" s="6"/>
      <c r="M670" s="6"/>
      <c r="N670" s="6"/>
      <c r="O670" s="6"/>
      <c r="P670" s="6"/>
      <c r="Q670" s="6"/>
      <c r="R670" s="6"/>
      <c r="S670" s="6"/>
      <c r="T670" s="6"/>
      <c r="U670" s="6"/>
      <c r="V670" s="6"/>
      <c r="W670" s="6"/>
      <c r="X670" s="6"/>
      <c r="Y670" s="6"/>
      <c r="Z670" s="6"/>
    </row>
    <row r="671">
      <c r="A671" s="9"/>
      <c r="B671" s="9"/>
      <c r="C671" s="9"/>
      <c r="D671" s="6"/>
      <c r="E671" s="9"/>
      <c r="F671" s="6"/>
      <c r="G671" s="6"/>
      <c r="H671" s="6"/>
      <c r="I671" s="6"/>
      <c r="J671" s="6"/>
      <c r="K671" s="6"/>
      <c r="L671" s="6"/>
      <c r="M671" s="6"/>
      <c r="N671" s="6"/>
      <c r="O671" s="6"/>
      <c r="P671" s="6"/>
      <c r="Q671" s="6"/>
      <c r="R671" s="6"/>
      <c r="S671" s="6"/>
      <c r="T671" s="6"/>
      <c r="U671" s="6"/>
      <c r="V671" s="6"/>
      <c r="W671" s="6"/>
      <c r="X671" s="6"/>
      <c r="Y671" s="6"/>
      <c r="Z671" s="6"/>
    </row>
    <row r="672">
      <c r="A672" s="9"/>
      <c r="B672" s="9"/>
      <c r="C672" s="9"/>
      <c r="D672" s="6"/>
      <c r="E672" s="9"/>
      <c r="F672" s="6"/>
      <c r="G672" s="6"/>
      <c r="H672" s="6"/>
      <c r="I672" s="6"/>
      <c r="J672" s="6"/>
      <c r="K672" s="6"/>
      <c r="L672" s="6"/>
      <c r="M672" s="6"/>
      <c r="N672" s="6"/>
      <c r="O672" s="6"/>
      <c r="P672" s="6"/>
      <c r="Q672" s="6"/>
      <c r="R672" s="6"/>
      <c r="S672" s="6"/>
      <c r="T672" s="6"/>
      <c r="U672" s="6"/>
      <c r="V672" s="6"/>
      <c r="W672" s="6"/>
      <c r="X672" s="6"/>
      <c r="Y672" s="6"/>
      <c r="Z672" s="6"/>
    </row>
    <row r="673">
      <c r="A673" s="9"/>
      <c r="B673" s="9"/>
      <c r="C673" s="9"/>
      <c r="D673" s="6"/>
      <c r="E673" s="9"/>
      <c r="F673" s="6"/>
      <c r="G673" s="6"/>
      <c r="H673" s="6"/>
      <c r="I673" s="6"/>
      <c r="J673" s="6"/>
      <c r="K673" s="6"/>
      <c r="L673" s="6"/>
      <c r="M673" s="6"/>
      <c r="N673" s="6"/>
      <c r="O673" s="6"/>
      <c r="P673" s="6"/>
      <c r="Q673" s="6"/>
      <c r="R673" s="6"/>
      <c r="S673" s="6"/>
      <c r="T673" s="6"/>
      <c r="U673" s="6"/>
      <c r="V673" s="6"/>
      <c r="W673" s="6"/>
      <c r="X673" s="6"/>
      <c r="Y673" s="6"/>
      <c r="Z673" s="6"/>
    </row>
    <row r="674">
      <c r="A674" s="9"/>
      <c r="B674" s="9"/>
      <c r="C674" s="9"/>
      <c r="D674" s="6"/>
      <c r="E674" s="9"/>
      <c r="F674" s="6"/>
      <c r="G674" s="6"/>
      <c r="H674" s="6"/>
      <c r="I674" s="6"/>
      <c r="J674" s="6"/>
      <c r="K674" s="6"/>
      <c r="L674" s="6"/>
      <c r="M674" s="6"/>
      <c r="N674" s="6"/>
      <c r="O674" s="6"/>
      <c r="P674" s="6"/>
      <c r="Q674" s="6"/>
      <c r="R674" s="6"/>
      <c r="S674" s="6"/>
      <c r="T674" s="6"/>
      <c r="U674" s="6"/>
      <c r="V674" s="6"/>
      <c r="W674" s="6"/>
      <c r="X674" s="6"/>
      <c r="Y674" s="6"/>
      <c r="Z674" s="6"/>
    </row>
    <row r="675">
      <c r="A675" s="9"/>
      <c r="B675" s="9"/>
      <c r="C675" s="9"/>
      <c r="D675" s="6"/>
      <c r="E675" s="9"/>
      <c r="F675" s="6"/>
      <c r="G675" s="6"/>
      <c r="H675" s="6"/>
      <c r="I675" s="6"/>
      <c r="J675" s="6"/>
      <c r="K675" s="6"/>
      <c r="L675" s="6"/>
      <c r="M675" s="6"/>
      <c r="N675" s="6"/>
      <c r="O675" s="6"/>
      <c r="P675" s="6"/>
      <c r="Q675" s="6"/>
      <c r="R675" s="6"/>
      <c r="S675" s="6"/>
      <c r="T675" s="6"/>
      <c r="U675" s="6"/>
      <c r="V675" s="6"/>
      <c r="W675" s="6"/>
      <c r="X675" s="6"/>
      <c r="Y675" s="6"/>
      <c r="Z675" s="6"/>
    </row>
    <row r="676">
      <c r="A676" s="9"/>
      <c r="B676" s="9"/>
      <c r="C676" s="9"/>
      <c r="D676" s="6"/>
      <c r="E676" s="9"/>
      <c r="F676" s="6"/>
      <c r="G676" s="6"/>
      <c r="H676" s="6"/>
      <c r="I676" s="6"/>
      <c r="J676" s="6"/>
      <c r="K676" s="6"/>
      <c r="L676" s="6"/>
      <c r="M676" s="6"/>
      <c r="N676" s="6"/>
      <c r="O676" s="6"/>
      <c r="P676" s="6"/>
      <c r="Q676" s="6"/>
      <c r="R676" s="6"/>
      <c r="S676" s="6"/>
      <c r="T676" s="6"/>
      <c r="U676" s="6"/>
      <c r="V676" s="6"/>
      <c r="W676" s="6"/>
      <c r="X676" s="6"/>
      <c r="Y676" s="6"/>
      <c r="Z676" s="6"/>
    </row>
    <row r="677">
      <c r="A677" s="9"/>
      <c r="B677" s="9"/>
      <c r="C677" s="9"/>
      <c r="D677" s="6"/>
      <c r="E677" s="9"/>
      <c r="F677" s="6"/>
      <c r="G677" s="6"/>
      <c r="H677" s="6"/>
      <c r="I677" s="6"/>
      <c r="J677" s="6"/>
      <c r="K677" s="6"/>
      <c r="L677" s="6"/>
      <c r="M677" s="6"/>
      <c r="N677" s="6"/>
      <c r="O677" s="6"/>
      <c r="P677" s="6"/>
      <c r="Q677" s="6"/>
      <c r="R677" s="6"/>
      <c r="S677" s="6"/>
      <c r="T677" s="6"/>
      <c r="U677" s="6"/>
      <c r="V677" s="6"/>
      <c r="W677" s="6"/>
      <c r="X677" s="6"/>
      <c r="Y677" s="6"/>
      <c r="Z677" s="6"/>
    </row>
    <row r="678">
      <c r="A678" s="9"/>
      <c r="B678" s="9"/>
      <c r="C678" s="9"/>
      <c r="D678" s="6"/>
      <c r="E678" s="9"/>
      <c r="F678" s="6"/>
      <c r="G678" s="6"/>
      <c r="H678" s="6"/>
      <c r="I678" s="6"/>
      <c r="J678" s="6"/>
      <c r="K678" s="6"/>
      <c r="L678" s="6"/>
      <c r="M678" s="6"/>
      <c r="N678" s="6"/>
      <c r="O678" s="6"/>
      <c r="P678" s="6"/>
      <c r="Q678" s="6"/>
      <c r="R678" s="6"/>
      <c r="S678" s="6"/>
      <c r="T678" s="6"/>
      <c r="U678" s="6"/>
      <c r="V678" s="6"/>
      <c r="W678" s="6"/>
      <c r="X678" s="6"/>
      <c r="Y678" s="6"/>
      <c r="Z678" s="6"/>
    </row>
    <row r="679">
      <c r="A679" s="9"/>
      <c r="B679" s="9"/>
      <c r="C679" s="9"/>
      <c r="D679" s="6"/>
      <c r="E679" s="9"/>
      <c r="F679" s="6"/>
      <c r="G679" s="6"/>
      <c r="H679" s="6"/>
      <c r="I679" s="6"/>
      <c r="J679" s="6"/>
      <c r="K679" s="6"/>
      <c r="L679" s="6"/>
      <c r="M679" s="6"/>
      <c r="N679" s="6"/>
      <c r="O679" s="6"/>
      <c r="P679" s="6"/>
      <c r="Q679" s="6"/>
      <c r="R679" s="6"/>
      <c r="S679" s="6"/>
      <c r="T679" s="6"/>
      <c r="U679" s="6"/>
      <c r="V679" s="6"/>
      <c r="W679" s="6"/>
      <c r="X679" s="6"/>
      <c r="Y679" s="6"/>
      <c r="Z679" s="6"/>
    </row>
    <row r="680">
      <c r="A680" s="9"/>
      <c r="B680" s="9"/>
      <c r="C680" s="9"/>
      <c r="D680" s="6"/>
      <c r="E680" s="9"/>
      <c r="F680" s="6"/>
      <c r="G680" s="6"/>
      <c r="H680" s="6"/>
      <c r="I680" s="6"/>
      <c r="J680" s="6"/>
      <c r="K680" s="6"/>
      <c r="L680" s="6"/>
      <c r="M680" s="6"/>
      <c r="N680" s="6"/>
      <c r="O680" s="6"/>
      <c r="P680" s="6"/>
      <c r="Q680" s="6"/>
      <c r="R680" s="6"/>
      <c r="S680" s="6"/>
      <c r="T680" s="6"/>
      <c r="U680" s="6"/>
      <c r="V680" s="6"/>
      <c r="W680" s="6"/>
      <c r="X680" s="6"/>
      <c r="Y680" s="6"/>
      <c r="Z680" s="6"/>
    </row>
    <row r="681">
      <c r="A681" s="9"/>
      <c r="B681" s="9"/>
      <c r="C681" s="9"/>
      <c r="D681" s="6"/>
      <c r="E681" s="9"/>
      <c r="F681" s="6"/>
      <c r="G681" s="6"/>
      <c r="H681" s="6"/>
      <c r="I681" s="6"/>
      <c r="J681" s="6"/>
      <c r="K681" s="6"/>
      <c r="L681" s="6"/>
      <c r="M681" s="6"/>
      <c r="N681" s="6"/>
      <c r="O681" s="6"/>
      <c r="P681" s="6"/>
      <c r="Q681" s="6"/>
      <c r="R681" s="6"/>
      <c r="S681" s="6"/>
      <c r="T681" s="6"/>
      <c r="U681" s="6"/>
      <c r="V681" s="6"/>
      <c r="W681" s="6"/>
      <c r="X681" s="6"/>
      <c r="Y681" s="6"/>
      <c r="Z681" s="6"/>
    </row>
    <row r="682">
      <c r="A682" s="9"/>
      <c r="B682" s="9"/>
      <c r="C682" s="9"/>
      <c r="D682" s="6"/>
      <c r="E682" s="9"/>
      <c r="F682" s="6"/>
      <c r="G682" s="6"/>
      <c r="H682" s="6"/>
      <c r="I682" s="6"/>
      <c r="J682" s="6"/>
      <c r="K682" s="6"/>
      <c r="L682" s="6"/>
      <c r="M682" s="6"/>
      <c r="N682" s="6"/>
      <c r="O682" s="6"/>
      <c r="P682" s="6"/>
      <c r="Q682" s="6"/>
      <c r="R682" s="6"/>
      <c r="S682" s="6"/>
      <c r="T682" s="6"/>
      <c r="U682" s="6"/>
      <c r="V682" s="6"/>
      <c r="W682" s="6"/>
      <c r="X682" s="6"/>
      <c r="Y682" s="6"/>
      <c r="Z682" s="6"/>
    </row>
    <row r="683">
      <c r="A683" s="9"/>
      <c r="B683" s="9"/>
      <c r="C683" s="9"/>
      <c r="D683" s="6"/>
      <c r="E683" s="9"/>
      <c r="F683" s="6"/>
      <c r="G683" s="6"/>
      <c r="H683" s="6"/>
      <c r="I683" s="6"/>
      <c r="J683" s="6"/>
      <c r="K683" s="6"/>
      <c r="L683" s="6"/>
      <c r="M683" s="6"/>
      <c r="N683" s="6"/>
      <c r="O683" s="6"/>
      <c r="P683" s="6"/>
      <c r="Q683" s="6"/>
      <c r="R683" s="6"/>
      <c r="S683" s="6"/>
      <c r="T683" s="6"/>
      <c r="U683" s="6"/>
      <c r="V683" s="6"/>
      <c r="W683" s="6"/>
      <c r="X683" s="6"/>
      <c r="Y683" s="6"/>
      <c r="Z683" s="6"/>
    </row>
    <row r="684">
      <c r="A684" s="9"/>
      <c r="B684" s="9"/>
      <c r="C684" s="9"/>
      <c r="D684" s="6"/>
      <c r="E684" s="9"/>
      <c r="F684" s="6"/>
      <c r="G684" s="6"/>
      <c r="H684" s="6"/>
      <c r="I684" s="6"/>
      <c r="J684" s="6"/>
      <c r="K684" s="6"/>
      <c r="L684" s="6"/>
      <c r="M684" s="6"/>
      <c r="N684" s="6"/>
      <c r="O684" s="6"/>
      <c r="P684" s="6"/>
      <c r="Q684" s="6"/>
      <c r="R684" s="6"/>
      <c r="S684" s="6"/>
      <c r="T684" s="6"/>
      <c r="U684" s="6"/>
      <c r="V684" s="6"/>
      <c r="W684" s="6"/>
      <c r="X684" s="6"/>
      <c r="Y684" s="6"/>
      <c r="Z684" s="6"/>
    </row>
    <row r="685">
      <c r="A685" s="9"/>
      <c r="B685" s="9"/>
      <c r="C685" s="9"/>
      <c r="D685" s="6"/>
      <c r="E685" s="9"/>
      <c r="F685" s="6"/>
      <c r="G685" s="6"/>
      <c r="H685" s="6"/>
      <c r="I685" s="6"/>
      <c r="J685" s="6"/>
      <c r="K685" s="6"/>
      <c r="L685" s="6"/>
      <c r="M685" s="6"/>
      <c r="N685" s="6"/>
      <c r="O685" s="6"/>
      <c r="P685" s="6"/>
      <c r="Q685" s="6"/>
      <c r="R685" s="6"/>
      <c r="S685" s="6"/>
      <c r="T685" s="6"/>
      <c r="U685" s="6"/>
      <c r="V685" s="6"/>
      <c r="W685" s="6"/>
      <c r="X685" s="6"/>
      <c r="Y685" s="6"/>
      <c r="Z685" s="6"/>
    </row>
    <row r="686">
      <c r="A686" s="9"/>
      <c r="B686" s="9"/>
      <c r="C686" s="9"/>
      <c r="D686" s="6"/>
      <c r="E686" s="9"/>
      <c r="F686" s="6"/>
      <c r="G686" s="6"/>
      <c r="H686" s="6"/>
      <c r="I686" s="6"/>
      <c r="J686" s="6"/>
      <c r="K686" s="6"/>
      <c r="L686" s="6"/>
      <c r="M686" s="6"/>
      <c r="N686" s="6"/>
      <c r="O686" s="6"/>
      <c r="P686" s="6"/>
      <c r="Q686" s="6"/>
      <c r="R686" s="6"/>
      <c r="S686" s="6"/>
      <c r="T686" s="6"/>
      <c r="U686" s="6"/>
      <c r="V686" s="6"/>
      <c r="W686" s="6"/>
      <c r="X686" s="6"/>
      <c r="Y686" s="6"/>
      <c r="Z686" s="6"/>
    </row>
    <row r="687">
      <c r="A687" s="9"/>
      <c r="B687" s="9"/>
      <c r="C687" s="9"/>
      <c r="D687" s="6"/>
      <c r="E687" s="9"/>
      <c r="F687" s="6"/>
      <c r="G687" s="6"/>
      <c r="H687" s="6"/>
      <c r="I687" s="6"/>
      <c r="J687" s="6"/>
      <c r="K687" s="6"/>
      <c r="L687" s="6"/>
      <c r="M687" s="6"/>
      <c r="N687" s="6"/>
      <c r="O687" s="6"/>
      <c r="P687" s="6"/>
      <c r="Q687" s="6"/>
      <c r="R687" s="6"/>
      <c r="S687" s="6"/>
      <c r="T687" s="6"/>
      <c r="U687" s="6"/>
      <c r="V687" s="6"/>
      <c r="W687" s="6"/>
      <c r="X687" s="6"/>
      <c r="Y687" s="6"/>
      <c r="Z687" s="6"/>
    </row>
    <row r="688">
      <c r="A688" s="9"/>
      <c r="B688" s="9"/>
      <c r="C688" s="9"/>
      <c r="D688" s="6"/>
      <c r="E688" s="9"/>
      <c r="F688" s="6"/>
      <c r="G688" s="6"/>
      <c r="H688" s="6"/>
      <c r="I688" s="6"/>
      <c r="J688" s="6"/>
      <c r="K688" s="6"/>
      <c r="L688" s="6"/>
      <c r="M688" s="6"/>
      <c r="N688" s="6"/>
      <c r="O688" s="6"/>
      <c r="P688" s="6"/>
      <c r="Q688" s="6"/>
      <c r="R688" s="6"/>
      <c r="S688" s="6"/>
      <c r="T688" s="6"/>
      <c r="U688" s="6"/>
      <c r="V688" s="6"/>
      <c r="W688" s="6"/>
      <c r="X688" s="6"/>
      <c r="Y688" s="6"/>
      <c r="Z688" s="6"/>
    </row>
    <row r="689">
      <c r="A689" s="9"/>
      <c r="B689" s="9"/>
      <c r="C689" s="9"/>
      <c r="D689" s="6"/>
      <c r="E689" s="9"/>
      <c r="F689" s="6"/>
      <c r="G689" s="6"/>
      <c r="H689" s="6"/>
      <c r="I689" s="6"/>
      <c r="J689" s="6"/>
      <c r="K689" s="6"/>
      <c r="L689" s="6"/>
      <c r="M689" s="6"/>
      <c r="N689" s="6"/>
      <c r="O689" s="6"/>
      <c r="P689" s="6"/>
      <c r="Q689" s="6"/>
      <c r="R689" s="6"/>
      <c r="S689" s="6"/>
      <c r="T689" s="6"/>
      <c r="U689" s="6"/>
      <c r="V689" s="6"/>
      <c r="W689" s="6"/>
      <c r="X689" s="6"/>
      <c r="Y689" s="6"/>
      <c r="Z689" s="6"/>
    </row>
    <row r="690">
      <c r="A690" s="9"/>
      <c r="B690" s="9"/>
      <c r="C690" s="9"/>
      <c r="D690" s="6"/>
      <c r="E690" s="9"/>
      <c r="F690" s="6"/>
      <c r="G690" s="6"/>
      <c r="H690" s="6"/>
      <c r="I690" s="6"/>
      <c r="J690" s="6"/>
      <c r="K690" s="6"/>
      <c r="L690" s="6"/>
      <c r="M690" s="6"/>
      <c r="N690" s="6"/>
      <c r="O690" s="6"/>
      <c r="P690" s="6"/>
      <c r="Q690" s="6"/>
      <c r="R690" s="6"/>
      <c r="S690" s="6"/>
      <c r="T690" s="6"/>
      <c r="U690" s="6"/>
      <c r="V690" s="6"/>
      <c r="W690" s="6"/>
      <c r="X690" s="6"/>
      <c r="Y690" s="6"/>
      <c r="Z690" s="6"/>
    </row>
    <row r="691">
      <c r="A691" s="9"/>
      <c r="B691" s="9"/>
      <c r="C691" s="9"/>
      <c r="D691" s="6"/>
      <c r="E691" s="9"/>
      <c r="F691" s="6"/>
      <c r="G691" s="6"/>
      <c r="H691" s="6"/>
      <c r="I691" s="6"/>
      <c r="J691" s="6"/>
      <c r="K691" s="6"/>
      <c r="L691" s="6"/>
      <c r="M691" s="6"/>
      <c r="N691" s="6"/>
      <c r="O691" s="6"/>
      <c r="P691" s="6"/>
      <c r="Q691" s="6"/>
      <c r="R691" s="6"/>
      <c r="S691" s="6"/>
      <c r="T691" s="6"/>
      <c r="U691" s="6"/>
      <c r="V691" s="6"/>
      <c r="W691" s="6"/>
      <c r="X691" s="6"/>
      <c r="Y691" s="6"/>
      <c r="Z691" s="6"/>
    </row>
    <row r="692">
      <c r="A692" s="9"/>
      <c r="B692" s="9"/>
      <c r="C692" s="9"/>
      <c r="D692" s="6"/>
      <c r="E692" s="9"/>
      <c r="F692" s="6"/>
      <c r="G692" s="6"/>
      <c r="H692" s="6"/>
      <c r="I692" s="6"/>
      <c r="J692" s="6"/>
      <c r="K692" s="6"/>
      <c r="L692" s="6"/>
      <c r="M692" s="6"/>
      <c r="N692" s="6"/>
      <c r="O692" s="6"/>
      <c r="P692" s="6"/>
      <c r="Q692" s="6"/>
      <c r="R692" s="6"/>
      <c r="S692" s="6"/>
      <c r="T692" s="6"/>
      <c r="U692" s="6"/>
      <c r="V692" s="6"/>
      <c r="W692" s="6"/>
      <c r="X692" s="6"/>
      <c r="Y692" s="6"/>
      <c r="Z692" s="6"/>
    </row>
    <row r="693">
      <c r="A693" s="9"/>
      <c r="B693" s="9"/>
      <c r="C693" s="9"/>
      <c r="D693" s="6"/>
      <c r="E693" s="9"/>
      <c r="F693" s="6"/>
      <c r="G693" s="6"/>
      <c r="H693" s="6"/>
      <c r="I693" s="6"/>
      <c r="J693" s="6"/>
      <c r="K693" s="6"/>
      <c r="L693" s="6"/>
      <c r="M693" s="6"/>
      <c r="N693" s="6"/>
      <c r="O693" s="6"/>
      <c r="P693" s="6"/>
      <c r="Q693" s="6"/>
      <c r="R693" s="6"/>
      <c r="S693" s="6"/>
      <c r="T693" s="6"/>
      <c r="U693" s="6"/>
      <c r="V693" s="6"/>
      <c r="W693" s="6"/>
      <c r="X693" s="6"/>
      <c r="Y693" s="6"/>
      <c r="Z693" s="6"/>
    </row>
    <row r="694">
      <c r="A694" s="9"/>
      <c r="B694" s="9"/>
      <c r="C694" s="9"/>
      <c r="D694" s="6"/>
      <c r="E694" s="9"/>
      <c r="F694" s="6"/>
      <c r="G694" s="6"/>
      <c r="H694" s="6"/>
      <c r="I694" s="6"/>
      <c r="J694" s="6"/>
      <c r="K694" s="6"/>
      <c r="L694" s="6"/>
      <c r="M694" s="6"/>
      <c r="N694" s="6"/>
      <c r="O694" s="6"/>
      <c r="P694" s="6"/>
      <c r="Q694" s="6"/>
      <c r="R694" s="6"/>
      <c r="S694" s="6"/>
      <c r="T694" s="6"/>
      <c r="U694" s="6"/>
      <c r="V694" s="6"/>
      <c r="W694" s="6"/>
      <c r="X694" s="6"/>
      <c r="Y694" s="6"/>
      <c r="Z694" s="6"/>
    </row>
    <row r="695">
      <c r="A695" s="9"/>
      <c r="B695" s="9"/>
      <c r="C695" s="9"/>
      <c r="D695" s="6"/>
      <c r="E695" s="9"/>
      <c r="F695" s="6"/>
      <c r="G695" s="6"/>
      <c r="H695" s="6"/>
      <c r="I695" s="6"/>
      <c r="J695" s="6"/>
      <c r="K695" s="6"/>
      <c r="L695" s="6"/>
      <c r="M695" s="6"/>
      <c r="N695" s="6"/>
      <c r="O695" s="6"/>
      <c r="P695" s="6"/>
      <c r="Q695" s="6"/>
      <c r="R695" s="6"/>
      <c r="S695" s="6"/>
      <c r="T695" s="6"/>
      <c r="U695" s="6"/>
      <c r="V695" s="6"/>
      <c r="W695" s="6"/>
      <c r="X695" s="6"/>
      <c r="Y695" s="6"/>
      <c r="Z695" s="6"/>
    </row>
    <row r="696">
      <c r="A696" s="9"/>
      <c r="B696" s="9"/>
      <c r="C696" s="9"/>
      <c r="D696" s="6"/>
      <c r="E696" s="9"/>
      <c r="F696" s="6"/>
      <c r="G696" s="6"/>
      <c r="H696" s="6"/>
      <c r="I696" s="6"/>
      <c r="J696" s="6"/>
      <c r="K696" s="6"/>
      <c r="L696" s="6"/>
      <c r="M696" s="6"/>
      <c r="N696" s="6"/>
      <c r="O696" s="6"/>
      <c r="P696" s="6"/>
      <c r="Q696" s="6"/>
      <c r="R696" s="6"/>
      <c r="S696" s="6"/>
      <c r="T696" s="6"/>
      <c r="U696" s="6"/>
      <c r="V696" s="6"/>
      <c r="W696" s="6"/>
      <c r="X696" s="6"/>
      <c r="Y696" s="6"/>
      <c r="Z696" s="6"/>
    </row>
    <row r="697">
      <c r="A697" s="9"/>
      <c r="B697" s="9"/>
      <c r="C697" s="9"/>
      <c r="D697" s="6"/>
      <c r="E697" s="9"/>
      <c r="F697" s="6"/>
      <c r="G697" s="6"/>
      <c r="H697" s="6"/>
      <c r="I697" s="6"/>
      <c r="J697" s="6"/>
      <c r="K697" s="6"/>
      <c r="L697" s="6"/>
      <c r="M697" s="6"/>
      <c r="N697" s="6"/>
      <c r="O697" s="6"/>
      <c r="P697" s="6"/>
      <c r="Q697" s="6"/>
      <c r="R697" s="6"/>
      <c r="S697" s="6"/>
      <c r="T697" s="6"/>
      <c r="U697" s="6"/>
      <c r="V697" s="6"/>
      <c r="W697" s="6"/>
      <c r="X697" s="6"/>
      <c r="Y697" s="6"/>
      <c r="Z697" s="6"/>
    </row>
    <row r="698">
      <c r="A698" s="9"/>
      <c r="B698" s="9"/>
      <c r="C698" s="9"/>
      <c r="D698" s="6"/>
      <c r="E698" s="9"/>
      <c r="F698" s="6"/>
      <c r="G698" s="6"/>
      <c r="H698" s="6"/>
      <c r="I698" s="6"/>
      <c r="J698" s="6"/>
      <c r="K698" s="6"/>
      <c r="L698" s="6"/>
      <c r="M698" s="6"/>
      <c r="N698" s="6"/>
      <c r="O698" s="6"/>
      <c r="P698" s="6"/>
      <c r="Q698" s="6"/>
      <c r="R698" s="6"/>
      <c r="S698" s="6"/>
      <c r="T698" s="6"/>
      <c r="U698" s="6"/>
      <c r="V698" s="6"/>
      <c r="W698" s="6"/>
      <c r="X698" s="6"/>
      <c r="Y698" s="6"/>
      <c r="Z698" s="6"/>
    </row>
    <row r="699">
      <c r="A699" s="9"/>
      <c r="B699" s="9"/>
      <c r="C699" s="9"/>
      <c r="D699" s="6"/>
      <c r="E699" s="9"/>
      <c r="F699" s="6"/>
      <c r="G699" s="6"/>
      <c r="H699" s="6"/>
      <c r="I699" s="6"/>
      <c r="J699" s="6"/>
      <c r="K699" s="6"/>
      <c r="L699" s="6"/>
      <c r="M699" s="6"/>
      <c r="N699" s="6"/>
      <c r="O699" s="6"/>
      <c r="P699" s="6"/>
      <c r="Q699" s="6"/>
      <c r="R699" s="6"/>
      <c r="S699" s="6"/>
      <c r="T699" s="6"/>
      <c r="U699" s="6"/>
      <c r="V699" s="6"/>
      <c r="W699" s="6"/>
      <c r="X699" s="6"/>
      <c r="Y699" s="6"/>
      <c r="Z699" s="6"/>
    </row>
    <row r="700">
      <c r="A700" s="9"/>
      <c r="B700" s="9"/>
      <c r="C700" s="9"/>
      <c r="D700" s="6"/>
      <c r="E700" s="9"/>
      <c r="F700" s="6"/>
      <c r="G700" s="6"/>
      <c r="H700" s="6"/>
      <c r="I700" s="6"/>
      <c r="J700" s="6"/>
      <c r="K700" s="6"/>
      <c r="L700" s="6"/>
      <c r="M700" s="6"/>
      <c r="N700" s="6"/>
      <c r="O700" s="6"/>
      <c r="P700" s="6"/>
      <c r="Q700" s="6"/>
      <c r="R700" s="6"/>
      <c r="S700" s="6"/>
      <c r="T700" s="6"/>
      <c r="U700" s="6"/>
      <c r="V700" s="6"/>
      <c r="W700" s="6"/>
      <c r="X700" s="6"/>
      <c r="Y700" s="6"/>
      <c r="Z700" s="6"/>
    </row>
    <row r="701">
      <c r="A701" s="9"/>
      <c r="B701" s="9"/>
      <c r="C701" s="9"/>
      <c r="D701" s="6"/>
      <c r="E701" s="9"/>
      <c r="F701" s="6"/>
      <c r="G701" s="6"/>
      <c r="H701" s="6"/>
      <c r="I701" s="6"/>
      <c r="J701" s="6"/>
      <c r="K701" s="6"/>
      <c r="L701" s="6"/>
      <c r="M701" s="6"/>
      <c r="N701" s="6"/>
      <c r="O701" s="6"/>
      <c r="P701" s="6"/>
      <c r="Q701" s="6"/>
      <c r="R701" s="6"/>
      <c r="S701" s="6"/>
      <c r="T701" s="6"/>
      <c r="U701" s="6"/>
      <c r="V701" s="6"/>
      <c r="W701" s="6"/>
      <c r="X701" s="6"/>
      <c r="Y701" s="6"/>
      <c r="Z701" s="6"/>
    </row>
    <row r="702">
      <c r="A702" s="9"/>
      <c r="B702" s="9"/>
      <c r="C702" s="9"/>
      <c r="D702" s="6"/>
      <c r="E702" s="9"/>
      <c r="F702" s="6"/>
      <c r="G702" s="6"/>
      <c r="H702" s="6"/>
      <c r="I702" s="6"/>
      <c r="J702" s="6"/>
      <c r="K702" s="6"/>
      <c r="L702" s="6"/>
      <c r="M702" s="6"/>
      <c r="N702" s="6"/>
      <c r="O702" s="6"/>
      <c r="P702" s="6"/>
      <c r="Q702" s="6"/>
      <c r="R702" s="6"/>
      <c r="S702" s="6"/>
      <c r="T702" s="6"/>
      <c r="U702" s="6"/>
      <c r="V702" s="6"/>
      <c r="W702" s="6"/>
      <c r="X702" s="6"/>
      <c r="Y702" s="6"/>
      <c r="Z702" s="6"/>
    </row>
    <row r="703">
      <c r="A703" s="9"/>
      <c r="B703" s="9"/>
      <c r="C703" s="9"/>
      <c r="D703" s="6"/>
      <c r="E703" s="9"/>
      <c r="F703" s="6"/>
      <c r="G703" s="6"/>
      <c r="H703" s="6"/>
      <c r="I703" s="6"/>
      <c r="J703" s="6"/>
      <c r="K703" s="6"/>
      <c r="L703" s="6"/>
      <c r="M703" s="6"/>
      <c r="N703" s="6"/>
      <c r="O703" s="6"/>
      <c r="P703" s="6"/>
      <c r="Q703" s="6"/>
      <c r="R703" s="6"/>
      <c r="S703" s="6"/>
      <c r="T703" s="6"/>
      <c r="U703" s="6"/>
      <c r="V703" s="6"/>
      <c r="W703" s="6"/>
      <c r="X703" s="6"/>
      <c r="Y703" s="6"/>
      <c r="Z703" s="6"/>
    </row>
    <row r="704">
      <c r="A704" s="9"/>
      <c r="B704" s="9"/>
      <c r="C704" s="9"/>
      <c r="D704" s="6"/>
      <c r="E704" s="9"/>
      <c r="F704" s="6"/>
      <c r="G704" s="6"/>
      <c r="H704" s="6"/>
      <c r="I704" s="6"/>
      <c r="J704" s="6"/>
      <c r="K704" s="6"/>
      <c r="L704" s="6"/>
      <c r="M704" s="6"/>
      <c r="N704" s="6"/>
      <c r="O704" s="6"/>
      <c r="P704" s="6"/>
      <c r="Q704" s="6"/>
      <c r="R704" s="6"/>
      <c r="S704" s="6"/>
      <c r="T704" s="6"/>
      <c r="U704" s="6"/>
      <c r="V704" s="6"/>
      <c r="W704" s="6"/>
      <c r="X704" s="6"/>
      <c r="Y704" s="6"/>
      <c r="Z704" s="6"/>
    </row>
    <row r="705">
      <c r="A705" s="9"/>
      <c r="B705" s="9"/>
      <c r="C705" s="9"/>
      <c r="D705" s="6"/>
      <c r="E705" s="9"/>
      <c r="F705" s="6"/>
      <c r="G705" s="6"/>
      <c r="H705" s="6"/>
      <c r="I705" s="6"/>
      <c r="J705" s="6"/>
      <c r="K705" s="6"/>
      <c r="L705" s="6"/>
      <c r="M705" s="6"/>
      <c r="N705" s="6"/>
      <c r="O705" s="6"/>
      <c r="P705" s="6"/>
      <c r="Q705" s="6"/>
      <c r="R705" s="6"/>
      <c r="S705" s="6"/>
      <c r="T705" s="6"/>
      <c r="U705" s="6"/>
      <c r="V705" s="6"/>
      <c r="W705" s="6"/>
      <c r="X705" s="6"/>
      <c r="Y705" s="6"/>
      <c r="Z705" s="6"/>
    </row>
    <row r="706">
      <c r="A706" s="9"/>
      <c r="B706" s="9"/>
      <c r="C706" s="9"/>
      <c r="D706" s="6"/>
      <c r="E706" s="9"/>
      <c r="F706" s="6"/>
      <c r="G706" s="6"/>
      <c r="H706" s="6"/>
      <c r="I706" s="6"/>
      <c r="J706" s="6"/>
      <c r="K706" s="6"/>
      <c r="L706" s="6"/>
      <c r="M706" s="6"/>
      <c r="N706" s="6"/>
      <c r="O706" s="6"/>
      <c r="P706" s="6"/>
      <c r="Q706" s="6"/>
      <c r="R706" s="6"/>
      <c r="S706" s="6"/>
      <c r="T706" s="6"/>
      <c r="U706" s="6"/>
      <c r="V706" s="6"/>
      <c r="W706" s="6"/>
      <c r="X706" s="6"/>
      <c r="Y706" s="6"/>
      <c r="Z706" s="6"/>
    </row>
    <row r="707">
      <c r="A707" s="9"/>
      <c r="B707" s="9"/>
      <c r="C707" s="9"/>
      <c r="D707" s="6"/>
      <c r="E707" s="9"/>
      <c r="F707" s="6"/>
      <c r="G707" s="6"/>
      <c r="H707" s="6"/>
      <c r="I707" s="6"/>
      <c r="J707" s="6"/>
      <c r="K707" s="6"/>
      <c r="L707" s="6"/>
      <c r="M707" s="6"/>
      <c r="N707" s="6"/>
      <c r="O707" s="6"/>
      <c r="P707" s="6"/>
      <c r="Q707" s="6"/>
      <c r="R707" s="6"/>
      <c r="S707" s="6"/>
      <c r="T707" s="6"/>
      <c r="U707" s="6"/>
      <c r="V707" s="6"/>
      <c r="W707" s="6"/>
      <c r="X707" s="6"/>
      <c r="Y707" s="6"/>
      <c r="Z707" s="6"/>
    </row>
    <row r="708">
      <c r="A708" s="9"/>
      <c r="B708" s="9"/>
      <c r="C708" s="9"/>
      <c r="D708" s="6"/>
      <c r="E708" s="9"/>
      <c r="F708" s="6"/>
      <c r="G708" s="6"/>
      <c r="H708" s="6"/>
      <c r="I708" s="6"/>
      <c r="J708" s="6"/>
      <c r="K708" s="6"/>
      <c r="L708" s="6"/>
      <c r="M708" s="6"/>
      <c r="N708" s="6"/>
      <c r="O708" s="6"/>
      <c r="P708" s="6"/>
      <c r="Q708" s="6"/>
      <c r="R708" s="6"/>
      <c r="S708" s="6"/>
      <c r="T708" s="6"/>
      <c r="U708" s="6"/>
      <c r="V708" s="6"/>
      <c r="W708" s="6"/>
      <c r="X708" s="6"/>
      <c r="Y708" s="6"/>
      <c r="Z708" s="6"/>
    </row>
    <row r="709">
      <c r="A709" s="9"/>
      <c r="B709" s="9"/>
      <c r="C709" s="9"/>
      <c r="D709" s="6"/>
      <c r="E709" s="9"/>
      <c r="F709" s="6"/>
      <c r="G709" s="6"/>
      <c r="H709" s="6"/>
      <c r="I709" s="6"/>
      <c r="J709" s="6"/>
      <c r="K709" s="6"/>
      <c r="L709" s="6"/>
      <c r="M709" s="6"/>
      <c r="N709" s="6"/>
      <c r="O709" s="6"/>
      <c r="P709" s="6"/>
      <c r="Q709" s="6"/>
      <c r="R709" s="6"/>
      <c r="S709" s="6"/>
      <c r="T709" s="6"/>
      <c r="U709" s="6"/>
      <c r="V709" s="6"/>
      <c r="W709" s="6"/>
      <c r="X709" s="6"/>
      <c r="Y709" s="6"/>
      <c r="Z709" s="6"/>
    </row>
    <row r="710">
      <c r="A710" s="9"/>
      <c r="B710" s="9"/>
      <c r="C710" s="9"/>
      <c r="D710" s="6"/>
      <c r="E710" s="9"/>
      <c r="F710" s="6"/>
      <c r="G710" s="6"/>
      <c r="H710" s="6"/>
      <c r="I710" s="6"/>
      <c r="J710" s="6"/>
      <c r="K710" s="6"/>
      <c r="L710" s="6"/>
      <c r="M710" s="6"/>
      <c r="N710" s="6"/>
      <c r="O710" s="6"/>
      <c r="P710" s="6"/>
      <c r="Q710" s="6"/>
      <c r="R710" s="6"/>
      <c r="S710" s="6"/>
      <c r="T710" s="6"/>
      <c r="U710" s="6"/>
      <c r="V710" s="6"/>
      <c r="W710" s="6"/>
      <c r="X710" s="6"/>
      <c r="Y710" s="6"/>
      <c r="Z710" s="6"/>
    </row>
    <row r="711">
      <c r="A711" s="9"/>
      <c r="B711" s="9"/>
      <c r="C711" s="9"/>
      <c r="D711" s="6"/>
      <c r="E711" s="9"/>
      <c r="F711" s="6"/>
      <c r="G711" s="6"/>
      <c r="H711" s="6"/>
      <c r="I711" s="6"/>
      <c r="J711" s="6"/>
      <c r="K711" s="6"/>
      <c r="L711" s="6"/>
      <c r="M711" s="6"/>
      <c r="N711" s="6"/>
      <c r="O711" s="6"/>
      <c r="P711" s="6"/>
      <c r="Q711" s="6"/>
      <c r="R711" s="6"/>
      <c r="S711" s="6"/>
      <c r="T711" s="6"/>
      <c r="U711" s="6"/>
      <c r="V711" s="6"/>
      <c r="W711" s="6"/>
      <c r="X711" s="6"/>
      <c r="Y711" s="6"/>
      <c r="Z711" s="6"/>
    </row>
    <row r="712">
      <c r="A712" s="9"/>
      <c r="B712" s="9"/>
      <c r="C712" s="9"/>
      <c r="D712" s="6"/>
      <c r="E712" s="9"/>
      <c r="F712" s="6"/>
      <c r="G712" s="6"/>
      <c r="H712" s="6"/>
      <c r="I712" s="6"/>
      <c r="J712" s="6"/>
      <c r="K712" s="6"/>
      <c r="L712" s="6"/>
      <c r="M712" s="6"/>
      <c r="N712" s="6"/>
      <c r="O712" s="6"/>
      <c r="P712" s="6"/>
      <c r="Q712" s="6"/>
      <c r="R712" s="6"/>
      <c r="S712" s="6"/>
      <c r="T712" s="6"/>
      <c r="U712" s="6"/>
      <c r="V712" s="6"/>
      <c r="W712" s="6"/>
      <c r="X712" s="6"/>
      <c r="Y712" s="6"/>
      <c r="Z712" s="6"/>
    </row>
    <row r="713">
      <c r="A713" s="9"/>
      <c r="B713" s="9"/>
      <c r="C713" s="9"/>
      <c r="D713" s="6"/>
      <c r="E713" s="9"/>
      <c r="F713" s="6"/>
      <c r="G713" s="6"/>
      <c r="H713" s="6"/>
      <c r="I713" s="6"/>
      <c r="J713" s="6"/>
      <c r="K713" s="6"/>
      <c r="L713" s="6"/>
      <c r="M713" s="6"/>
      <c r="N713" s="6"/>
      <c r="O713" s="6"/>
      <c r="P713" s="6"/>
      <c r="Q713" s="6"/>
      <c r="R713" s="6"/>
      <c r="S713" s="6"/>
      <c r="T713" s="6"/>
      <c r="U713" s="6"/>
      <c r="V713" s="6"/>
      <c r="W713" s="6"/>
      <c r="X713" s="6"/>
      <c r="Y713" s="6"/>
      <c r="Z713" s="6"/>
    </row>
    <row r="714">
      <c r="A714" s="9"/>
      <c r="B714" s="9"/>
      <c r="C714" s="9"/>
      <c r="D714" s="6"/>
      <c r="E714" s="9"/>
      <c r="F714" s="6"/>
      <c r="G714" s="6"/>
      <c r="H714" s="6"/>
      <c r="I714" s="6"/>
      <c r="J714" s="6"/>
      <c r="K714" s="6"/>
      <c r="L714" s="6"/>
      <c r="M714" s="6"/>
      <c r="N714" s="6"/>
      <c r="O714" s="6"/>
      <c r="P714" s="6"/>
      <c r="Q714" s="6"/>
      <c r="R714" s="6"/>
      <c r="S714" s="6"/>
      <c r="T714" s="6"/>
      <c r="U714" s="6"/>
      <c r="V714" s="6"/>
      <c r="W714" s="6"/>
      <c r="X714" s="6"/>
      <c r="Y714" s="6"/>
      <c r="Z714" s="6"/>
    </row>
    <row r="715">
      <c r="A715" s="9"/>
      <c r="B715" s="9"/>
      <c r="C715" s="9"/>
      <c r="D715" s="6"/>
      <c r="E715" s="9"/>
      <c r="F715" s="6"/>
      <c r="G715" s="6"/>
      <c r="H715" s="6"/>
      <c r="I715" s="6"/>
      <c r="J715" s="6"/>
      <c r="K715" s="6"/>
      <c r="L715" s="6"/>
      <c r="M715" s="6"/>
      <c r="N715" s="6"/>
      <c r="O715" s="6"/>
      <c r="P715" s="6"/>
      <c r="Q715" s="6"/>
      <c r="R715" s="6"/>
      <c r="S715" s="6"/>
      <c r="T715" s="6"/>
      <c r="U715" s="6"/>
      <c r="V715" s="6"/>
      <c r="W715" s="6"/>
      <c r="X715" s="6"/>
      <c r="Y715" s="6"/>
      <c r="Z715" s="6"/>
    </row>
    <row r="716">
      <c r="A716" s="9"/>
      <c r="B716" s="9"/>
      <c r="C716" s="9"/>
      <c r="D716" s="6"/>
      <c r="E716" s="9"/>
      <c r="F716" s="6"/>
      <c r="G716" s="6"/>
      <c r="H716" s="6"/>
      <c r="I716" s="6"/>
      <c r="J716" s="6"/>
      <c r="K716" s="6"/>
      <c r="L716" s="6"/>
      <c r="M716" s="6"/>
      <c r="N716" s="6"/>
      <c r="O716" s="6"/>
      <c r="P716" s="6"/>
      <c r="Q716" s="6"/>
      <c r="R716" s="6"/>
      <c r="S716" s="6"/>
      <c r="T716" s="6"/>
      <c r="U716" s="6"/>
      <c r="V716" s="6"/>
      <c r="W716" s="6"/>
      <c r="X716" s="6"/>
      <c r="Y716" s="6"/>
      <c r="Z716" s="6"/>
    </row>
    <row r="717">
      <c r="A717" s="9"/>
      <c r="B717" s="9"/>
      <c r="C717" s="9"/>
      <c r="D717" s="6"/>
      <c r="E717" s="9"/>
      <c r="F717" s="6"/>
      <c r="G717" s="6"/>
      <c r="H717" s="6"/>
      <c r="I717" s="6"/>
      <c r="J717" s="6"/>
      <c r="K717" s="6"/>
      <c r="L717" s="6"/>
      <c r="M717" s="6"/>
      <c r="N717" s="6"/>
      <c r="O717" s="6"/>
      <c r="P717" s="6"/>
      <c r="Q717" s="6"/>
      <c r="R717" s="6"/>
      <c r="S717" s="6"/>
      <c r="T717" s="6"/>
      <c r="U717" s="6"/>
      <c r="V717" s="6"/>
      <c r="W717" s="6"/>
      <c r="X717" s="6"/>
      <c r="Y717" s="6"/>
      <c r="Z717" s="6"/>
    </row>
    <row r="718">
      <c r="A718" s="9"/>
      <c r="B718" s="9"/>
      <c r="C718" s="9"/>
      <c r="D718" s="6"/>
      <c r="E718" s="9"/>
      <c r="F718" s="6"/>
      <c r="G718" s="6"/>
      <c r="H718" s="6"/>
      <c r="I718" s="6"/>
      <c r="J718" s="6"/>
      <c r="K718" s="6"/>
      <c r="L718" s="6"/>
      <c r="M718" s="6"/>
      <c r="N718" s="6"/>
      <c r="O718" s="6"/>
      <c r="P718" s="6"/>
      <c r="Q718" s="6"/>
      <c r="R718" s="6"/>
      <c r="S718" s="6"/>
      <c r="T718" s="6"/>
      <c r="U718" s="6"/>
      <c r="V718" s="6"/>
      <c r="W718" s="6"/>
      <c r="X718" s="6"/>
      <c r="Y718" s="6"/>
      <c r="Z718" s="6"/>
    </row>
    <row r="719">
      <c r="A719" s="9"/>
      <c r="B719" s="9"/>
      <c r="C719" s="9"/>
      <c r="D719" s="6"/>
      <c r="E719" s="9"/>
      <c r="F719" s="6"/>
      <c r="G719" s="6"/>
      <c r="H719" s="6"/>
      <c r="I719" s="6"/>
      <c r="J719" s="6"/>
      <c r="K719" s="6"/>
      <c r="L719" s="6"/>
      <c r="M719" s="6"/>
      <c r="N719" s="6"/>
      <c r="O719" s="6"/>
      <c r="P719" s="6"/>
      <c r="Q719" s="6"/>
      <c r="R719" s="6"/>
      <c r="S719" s="6"/>
      <c r="T719" s="6"/>
      <c r="U719" s="6"/>
      <c r="V719" s="6"/>
      <c r="W719" s="6"/>
      <c r="X719" s="6"/>
      <c r="Y719" s="6"/>
      <c r="Z719" s="6"/>
    </row>
    <row r="720">
      <c r="A720" s="9"/>
      <c r="B720" s="9"/>
      <c r="C720" s="9"/>
      <c r="D720" s="6"/>
      <c r="E720" s="9"/>
      <c r="F720" s="6"/>
      <c r="G720" s="6"/>
      <c r="H720" s="6"/>
      <c r="I720" s="6"/>
      <c r="J720" s="6"/>
      <c r="K720" s="6"/>
      <c r="L720" s="6"/>
      <c r="M720" s="6"/>
      <c r="N720" s="6"/>
      <c r="O720" s="6"/>
      <c r="P720" s="6"/>
      <c r="Q720" s="6"/>
      <c r="R720" s="6"/>
      <c r="S720" s="6"/>
      <c r="T720" s="6"/>
      <c r="U720" s="6"/>
      <c r="V720" s="6"/>
      <c r="W720" s="6"/>
      <c r="X720" s="6"/>
      <c r="Y720" s="6"/>
      <c r="Z720" s="6"/>
    </row>
    <row r="721">
      <c r="A721" s="9"/>
      <c r="B721" s="9"/>
      <c r="C721" s="9"/>
      <c r="D721" s="6"/>
      <c r="E721" s="9"/>
      <c r="F721" s="6"/>
      <c r="G721" s="6"/>
      <c r="H721" s="6"/>
      <c r="I721" s="6"/>
      <c r="J721" s="6"/>
      <c r="K721" s="6"/>
      <c r="L721" s="6"/>
      <c r="M721" s="6"/>
      <c r="N721" s="6"/>
      <c r="O721" s="6"/>
      <c r="P721" s="6"/>
      <c r="Q721" s="6"/>
      <c r="R721" s="6"/>
      <c r="S721" s="6"/>
      <c r="T721" s="6"/>
      <c r="U721" s="6"/>
      <c r="V721" s="6"/>
      <c r="W721" s="6"/>
      <c r="X721" s="6"/>
      <c r="Y721" s="6"/>
      <c r="Z721" s="6"/>
    </row>
    <row r="722">
      <c r="A722" s="9"/>
      <c r="B722" s="9"/>
      <c r="C722" s="9"/>
      <c r="D722" s="6"/>
      <c r="E722" s="9"/>
      <c r="F722" s="6"/>
      <c r="G722" s="6"/>
      <c r="H722" s="6"/>
      <c r="I722" s="6"/>
      <c r="J722" s="6"/>
      <c r="K722" s="6"/>
      <c r="L722" s="6"/>
      <c r="M722" s="6"/>
      <c r="N722" s="6"/>
      <c r="O722" s="6"/>
      <c r="P722" s="6"/>
      <c r="Q722" s="6"/>
      <c r="R722" s="6"/>
      <c r="S722" s="6"/>
      <c r="T722" s="6"/>
      <c r="U722" s="6"/>
      <c r="V722" s="6"/>
      <c r="W722" s="6"/>
      <c r="X722" s="6"/>
      <c r="Y722" s="6"/>
      <c r="Z722" s="6"/>
    </row>
    <row r="723">
      <c r="A723" s="9"/>
      <c r="B723" s="9"/>
      <c r="C723" s="9"/>
      <c r="D723" s="6"/>
      <c r="E723" s="9"/>
      <c r="F723" s="6"/>
      <c r="G723" s="6"/>
      <c r="H723" s="6"/>
      <c r="I723" s="6"/>
      <c r="J723" s="6"/>
      <c r="K723" s="6"/>
      <c r="L723" s="6"/>
      <c r="M723" s="6"/>
      <c r="N723" s="6"/>
      <c r="O723" s="6"/>
      <c r="P723" s="6"/>
      <c r="Q723" s="6"/>
      <c r="R723" s="6"/>
      <c r="S723" s="6"/>
      <c r="T723" s="6"/>
      <c r="U723" s="6"/>
      <c r="V723" s="6"/>
      <c r="W723" s="6"/>
      <c r="X723" s="6"/>
      <c r="Y723" s="6"/>
      <c r="Z723" s="6"/>
    </row>
    <row r="724">
      <c r="A724" s="9"/>
      <c r="B724" s="9"/>
      <c r="C724" s="9"/>
      <c r="D724" s="6"/>
      <c r="E724" s="9"/>
      <c r="F724" s="6"/>
      <c r="G724" s="6"/>
      <c r="H724" s="6"/>
      <c r="I724" s="6"/>
      <c r="J724" s="6"/>
      <c r="K724" s="6"/>
      <c r="L724" s="6"/>
      <c r="M724" s="6"/>
      <c r="N724" s="6"/>
      <c r="O724" s="6"/>
      <c r="P724" s="6"/>
      <c r="Q724" s="6"/>
      <c r="R724" s="6"/>
      <c r="S724" s="6"/>
      <c r="T724" s="6"/>
      <c r="U724" s="6"/>
      <c r="V724" s="6"/>
      <c r="W724" s="6"/>
      <c r="X724" s="6"/>
      <c r="Y724" s="6"/>
      <c r="Z724" s="6"/>
    </row>
    <row r="725">
      <c r="A725" s="9"/>
      <c r="B725" s="9"/>
      <c r="C725" s="9"/>
      <c r="D725" s="6"/>
      <c r="E725" s="9"/>
      <c r="F725" s="6"/>
      <c r="G725" s="6"/>
      <c r="H725" s="6"/>
      <c r="I725" s="6"/>
      <c r="J725" s="6"/>
      <c r="K725" s="6"/>
      <c r="L725" s="6"/>
      <c r="M725" s="6"/>
      <c r="N725" s="6"/>
      <c r="O725" s="6"/>
      <c r="P725" s="6"/>
      <c r="Q725" s="6"/>
      <c r="R725" s="6"/>
      <c r="S725" s="6"/>
      <c r="T725" s="6"/>
      <c r="U725" s="6"/>
      <c r="V725" s="6"/>
      <c r="W725" s="6"/>
      <c r="X725" s="6"/>
      <c r="Y725" s="6"/>
      <c r="Z725" s="6"/>
    </row>
    <row r="726">
      <c r="A726" s="9"/>
      <c r="B726" s="9"/>
      <c r="C726" s="9"/>
      <c r="D726" s="6"/>
      <c r="E726" s="9"/>
      <c r="F726" s="6"/>
      <c r="G726" s="6"/>
      <c r="H726" s="6"/>
      <c r="I726" s="6"/>
      <c r="J726" s="6"/>
      <c r="K726" s="6"/>
      <c r="L726" s="6"/>
      <c r="M726" s="6"/>
      <c r="N726" s="6"/>
      <c r="O726" s="6"/>
      <c r="P726" s="6"/>
      <c r="Q726" s="6"/>
      <c r="R726" s="6"/>
      <c r="S726" s="6"/>
      <c r="T726" s="6"/>
      <c r="U726" s="6"/>
      <c r="V726" s="6"/>
      <c r="W726" s="6"/>
      <c r="X726" s="6"/>
      <c r="Y726" s="6"/>
      <c r="Z726" s="6"/>
    </row>
    <row r="727">
      <c r="A727" s="9"/>
      <c r="B727" s="9"/>
      <c r="C727" s="9"/>
      <c r="D727" s="6"/>
      <c r="E727" s="9"/>
      <c r="F727" s="6"/>
      <c r="G727" s="6"/>
      <c r="H727" s="6"/>
      <c r="I727" s="6"/>
      <c r="J727" s="6"/>
      <c r="K727" s="6"/>
      <c r="L727" s="6"/>
      <c r="M727" s="6"/>
      <c r="N727" s="6"/>
      <c r="O727" s="6"/>
      <c r="P727" s="6"/>
      <c r="Q727" s="6"/>
      <c r="R727" s="6"/>
      <c r="S727" s="6"/>
      <c r="T727" s="6"/>
      <c r="U727" s="6"/>
      <c r="V727" s="6"/>
      <c r="W727" s="6"/>
      <c r="X727" s="6"/>
      <c r="Y727" s="6"/>
      <c r="Z727" s="6"/>
    </row>
    <row r="728">
      <c r="A728" s="9"/>
      <c r="B728" s="9"/>
      <c r="C728" s="9"/>
      <c r="D728" s="6"/>
      <c r="E728" s="9"/>
      <c r="F728" s="6"/>
      <c r="G728" s="6"/>
      <c r="H728" s="6"/>
      <c r="I728" s="6"/>
      <c r="J728" s="6"/>
      <c r="K728" s="6"/>
      <c r="L728" s="6"/>
      <c r="M728" s="6"/>
      <c r="N728" s="6"/>
      <c r="O728" s="6"/>
      <c r="P728" s="6"/>
      <c r="Q728" s="6"/>
      <c r="R728" s="6"/>
      <c r="S728" s="6"/>
      <c r="T728" s="6"/>
      <c r="U728" s="6"/>
      <c r="V728" s="6"/>
      <c r="W728" s="6"/>
      <c r="X728" s="6"/>
      <c r="Y728" s="6"/>
      <c r="Z728" s="6"/>
    </row>
    <row r="729">
      <c r="A729" s="9"/>
      <c r="B729" s="9"/>
      <c r="C729" s="9"/>
      <c r="D729" s="6"/>
      <c r="E729" s="9"/>
      <c r="F729" s="6"/>
      <c r="G729" s="6"/>
      <c r="H729" s="6"/>
      <c r="I729" s="6"/>
      <c r="J729" s="6"/>
      <c r="K729" s="6"/>
      <c r="L729" s="6"/>
      <c r="M729" s="6"/>
      <c r="N729" s="6"/>
      <c r="O729" s="6"/>
      <c r="P729" s="6"/>
      <c r="Q729" s="6"/>
      <c r="R729" s="6"/>
      <c r="S729" s="6"/>
      <c r="T729" s="6"/>
      <c r="U729" s="6"/>
      <c r="V729" s="6"/>
      <c r="W729" s="6"/>
      <c r="X729" s="6"/>
      <c r="Y729" s="6"/>
      <c r="Z729" s="6"/>
    </row>
    <row r="730">
      <c r="A730" s="9"/>
      <c r="B730" s="9"/>
      <c r="C730" s="9"/>
      <c r="D730" s="6"/>
      <c r="E730" s="9"/>
      <c r="F730" s="6"/>
      <c r="G730" s="6"/>
      <c r="H730" s="6"/>
      <c r="I730" s="6"/>
      <c r="J730" s="6"/>
      <c r="K730" s="6"/>
      <c r="L730" s="6"/>
      <c r="M730" s="6"/>
      <c r="N730" s="6"/>
      <c r="O730" s="6"/>
      <c r="P730" s="6"/>
      <c r="Q730" s="6"/>
      <c r="R730" s="6"/>
      <c r="S730" s="6"/>
      <c r="T730" s="6"/>
      <c r="U730" s="6"/>
      <c r="V730" s="6"/>
      <c r="W730" s="6"/>
      <c r="X730" s="6"/>
      <c r="Y730" s="6"/>
      <c r="Z730" s="6"/>
    </row>
    <row r="731">
      <c r="A731" s="9"/>
      <c r="B731" s="9"/>
      <c r="C731" s="9"/>
      <c r="D731" s="6"/>
      <c r="E731" s="9"/>
      <c r="F731" s="6"/>
      <c r="G731" s="6"/>
      <c r="H731" s="6"/>
      <c r="I731" s="6"/>
      <c r="J731" s="6"/>
      <c r="K731" s="6"/>
      <c r="L731" s="6"/>
      <c r="M731" s="6"/>
      <c r="N731" s="6"/>
      <c r="O731" s="6"/>
      <c r="P731" s="6"/>
      <c r="Q731" s="6"/>
      <c r="R731" s="6"/>
      <c r="S731" s="6"/>
      <c r="T731" s="6"/>
      <c r="U731" s="6"/>
      <c r="V731" s="6"/>
      <c r="W731" s="6"/>
      <c r="X731" s="6"/>
      <c r="Y731" s="6"/>
      <c r="Z731" s="6"/>
    </row>
    <row r="732">
      <c r="A732" s="9"/>
      <c r="B732" s="9"/>
      <c r="C732" s="9"/>
      <c r="D732" s="6"/>
      <c r="E732" s="9"/>
      <c r="F732" s="6"/>
      <c r="G732" s="6"/>
      <c r="H732" s="6"/>
      <c r="I732" s="6"/>
      <c r="J732" s="6"/>
      <c r="K732" s="6"/>
      <c r="L732" s="6"/>
      <c r="M732" s="6"/>
      <c r="N732" s="6"/>
      <c r="O732" s="6"/>
      <c r="P732" s="6"/>
      <c r="Q732" s="6"/>
      <c r="R732" s="6"/>
      <c r="S732" s="6"/>
      <c r="T732" s="6"/>
      <c r="U732" s="6"/>
      <c r="V732" s="6"/>
      <c r="W732" s="6"/>
      <c r="X732" s="6"/>
      <c r="Y732" s="6"/>
      <c r="Z732" s="6"/>
    </row>
    <row r="733">
      <c r="A733" s="9"/>
      <c r="B733" s="9"/>
      <c r="C733" s="9"/>
      <c r="D733" s="6"/>
      <c r="E733" s="9"/>
      <c r="F733" s="6"/>
      <c r="G733" s="6"/>
      <c r="H733" s="6"/>
      <c r="I733" s="6"/>
      <c r="J733" s="6"/>
      <c r="K733" s="6"/>
      <c r="L733" s="6"/>
      <c r="M733" s="6"/>
      <c r="N733" s="6"/>
      <c r="O733" s="6"/>
      <c r="P733" s="6"/>
      <c r="Q733" s="6"/>
      <c r="R733" s="6"/>
      <c r="S733" s="6"/>
      <c r="T733" s="6"/>
      <c r="U733" s="6"/>
      <c r="V733" s="6"/>
      <c r="W733" s="6"/>
      <c r="X733" s="6"/>
      <c r="Y733" s="6"/>
      <c r="Z733" s="6"/>
    </row>
    <row r="734">
      <c r="A734" s="9"/>
      <c r="B734" s="9"/>
      <c r="C734" s="9"/>
      <c r="D734" s="6"/>
      <c r="E734" s="9"/>
      <c r="F734" s="6"/>
      <c r="G734" s="6"/>
      <c r="H734" s="6"/>
      <c r="I734" s="6"/>
      <c r="J734" s="6"/>
      <c r="K734" s="6"/>
      <c r="L734" s="6"/>
      <c r="M734" s="6"/>
      <c r="N734" s="6"/>
      <c r="O734" s="6"/>
      <c r="P734" s="6"/>
      <c r="Q734" s="6"/>
      <c r="R734" s="6"/>
      <c r="S734" s="6"/>
      <c r="T734" s="6"/>
      <c r="U734" s="6"/>
      <c r="V734" s="6"/>
      <c r="W734" s="6"/>
      <c r="X734" s="6"/>
      <c r="Y734" s="6"/>
      <c r="Z734" s="6"/>
    </row>
    <row r="735">
      <c r="A735" s="9"/>
      <c r="B735" s="9"/>
      <c r="C735" s="9"/>
      <c r="D735" s="6"/>
      <c r="E735" s="9"/>
      <c r="F735" s="6"/>
      <c r="G735" s="6"/>
      <c r="H735" s="6"/>
      <c r="I735" s="6"/>
      <c r="J735" s="6"/>
      <c r="K735" s="6"/>
      <c r="L735" s="6"/>
      <c r="M735" s="6"/>
      <c r="N735" s="6"/>
      <c r="O735" s="6"/>
      <c r="P735" s="6"/>
      <c r="Q735" s="6"/>
      <c r="R735" s="6"/>
      <c r="S735" s="6"/>
      <c r="T735" s="6"/>
      <c r="U735" s="6"/>
      <c r="V735" s="6"/>
      <c r="W735" s="6"/>
      <c r="X735" s="6"/>
      <c r="Y735" s="6"/>
      <c r="Z735" s="6"/>
    </row>
    <row r="736">
      <c r="A736" s="9"/>
      <c r="B736" s="9"/>
      <c r="C736" s="9"/>
      <c r="D736" s="6"/>
      <c r="E736" s="9"/>
      <c r="F736" s="6"/>
      <c r="G736" s="6"/>
      <c r="H736" s="6"/>
      <c r="I736" s="6"/>
      <c r="J736" s="6"/>
      <c r="K736" s="6"/>
      <c r="L736" s="6"/>
      <c r="M736" s="6"/>
      <c r="N736" s="6"/>
      <c r="O736" s="6"/>
      <c r="P736" s="6"/>
      <c r="Q736" s="6"/>
      <c r="R736" s="6"/>
      <c r="S736" s="6"/>
      <c r="T736" s="6"/>
      <c r="U736" s="6"/>
      <c r="V736" s="6"/>
      <c r="W736" s="6"/>
      <c r="X736" s="6"/>
      <c r="Y736" s="6"/>
      <c r="Z736" s="6"/>
    </row>
    <row r="737">
      <c r="A737" s="9"/>
      <c r="B737" s="9"/>
      <c r="C737" s="9"/>
      <c r="D737" s="6"/>
      <c r="E737" s="9"/>
      <c r="F737" s="6"/>
      <c r="G737" s="6"/>
      <c r="H737" s="6"/>
      <c r="I737" s="6"/>
      <c r="J737" s="6"/>
      <c r="K737" s="6"/>
      <c r="L737" s="6"/>
      <c r="M737" s="6"/>
      <c r="N737" s="6"/>
      <c r="O737" s="6"/>
      <c r="P737" s="6"/>
      <c r="Q737" s="6"/>
      <c r="R737" s="6"/>
      <c r="S737" s="6"/>
      <c r="T737" s="6"/>
      <c r="U737" s="6"/>
      <c r="V737" s="6"/>
      <c r="W737" s="6"/>
      <c r="X737" s="6"/>
      <c r="Y737" s="6"/>
      <c r="Z737" s="6"/>
    </row>
    <row r="738">
      <c r="A738" s="9"/>
      <c r="B738" s="9"/>
      <c r="C738" s="9"/>
      <c r="D738" s="6"/>
      <c r="E738" s="9"/>
      <c r="F738" s="6"/>
      <c r="G738" s="6"/>
      <c r="H738" s="6"/>
      <c r="I738" s="6"/>
      <c r="J738" s="6"/>
      <c r="K738" s="6"/>
      <c r="L738" s="6"/>
      <c r="M738" s="6"/>
      <c r="N738" s="6"/>
      <c r="O738" s="6"/>
      <c r="P738" s="6"/>
      <c r="Q738" s="6"/>
      <c r="R738" s="6"/>
      <c r="S738" s="6"/>
      <c r="T738" s="6"/>
      <c r="U738" s="6"/>
      <c r="V738" s="6"/>
      <c r="W738" s="6"/>
      <c r="X738" s="6"/>
      <c r="Y738" s="6"/>
      <c r="Z738" s="6"/>
    </row>
    <row r="739">
      <c r="A739" s="9"/>
      <c r="B739" s="9"/>
      <c r="C739" s="9"/>
      <c r="D739" s="6"/>
      <c r="E739" s="9"/>
      <c r="F739" s="6"/>
      <c r="G739" s="6"/>
      <c r="H739" s="6"/>
      <c r="I739" s="6"/>
      <c r="J739" s="6"/>
      <c r="K739" s="6"/>
      <c r="L739" s="6"/>
      <c r="M739" s="6"/>
      <c r="N739" s="6"/>
      <c r="O739" s="6"/>
      <c r="P739" s="6"/>
      <c r="Q739" s="6"/>
      <c r="R739" s="6"/>
      <c r="S739" s="6"/>
      <c r="T739" s="6"/>
      <c r="U739" s="6"/>
      <c r="V739" s="6"/>
      <c r="W739" s="6"/>
      <c r="X739" s="6"/>
      <c r="Y739" s="6"/>
      <c r="Z739" s="6"/>
    </row>
    <row r="740">
      <c r="A740" s="9"/>
      <c r="B740" s="9"/>
      <c r="C740" s="9"/>
      <c r="D740" s="6"/>
      <c r="E740" s="9"/>
      <c r="F740" s="6"/>
      <c r="G740" s="6"/>
      <c r="H740" s="6"/>
      <c r="I740" s="6"/>
      <c r="J740" s="6"/>
      <c r="K740" s="6"/>
      <c r="L740" s="6"/>
      <c r="M740" s="6"/>
      <c r="N740" s="6"/>
      <c r="O740" s="6"/>
      <c r="P740" s="6"/>
      <c r="Q740" s="6"/>
      <c r="R740" s="6"/>
      <c r="S740" s="6"/>
      <c r="T740" s="6"/>
      <c r="U740" s="6"/>
      <c r="V740" s="6"/>
      <c r="W740" s="6"/>
      <c r="X740" s="6"/>
      <c r="Y740" s="6"/>
      <c r="Z740" s="6"/>
    </row>
    <row r="741">
      <c r="A741" s="9"/>
      <c r="B741" s="9"/>
      <c r="C741" s="9"/>
      <c r="D741" s="6"/>
      <c r="E741" s="9"/>
      <c r="F741" s="6"/>
      <c r="G741" s="6"/>
      <c r="H741" s="6"/>
      <c r="I741" s="6"/>
      <c r="J741" s="6"/>
      <c r="K741" s="6"/>
      <c r="L741" s="6"/>
      <c r="M741" s="6"/>
      <c r="N741" s="6"/>
      <c r="O741" s="6"/>
      <c r="P741" s="6"/>
      <c r="Q741" s="6"/>
      <c r="R741" s="6"/>
      <c r="S741" s="6"/>
      <c r="T741" s="6"/>
      <c r="U741" s="6"/>
      <c r="V741" s="6"/>
      <c r="W741" s="6"/>
      <c r="X741" s="6"/>
      <c r="Y741" s="6"/>
      <c r="Z741" s="6"/>
    </row>
    <row r="742">
      <c r="A742" s="9"/>
      <c r="B742" s="9"/>
      <c r="C742" s="9"/>
      <c r="D742" s="6"/>
      <c r="E742" s="9"/>
      <c r="F742" s="6"/>
      <c r="G742" s="6"/>
      <c r="H742" s="6"/>
      <c r="I742" s="6"/>
      <c r="J742" s="6"/>
      <c r="K742" s="6"/>
      <c r="L742" s="6"/>
      <c r="M742" s="6"/>
      <c r="N742" s="6"/>
      <c r="O742" s="6"/>
      <c r="P742" s="6"/>
      <c r="Q742" s="6"/>
      <c r="R742" s="6"/>
      <c r="S742" s="6"/>
      <c r="T742" s="6"/>
      <c r="U742" s="6"/>
      <c r="V742" s="6"/>
      <c r="W742" s="6"/>
      <c r="X742" s="6"/>
      <c r="Y742" s="6"/>
      <c r="Z742" s="6"/>
    </row>
    <row r="743">
      <c r="A743" s="9"/>
      <c r="B743" s="9"/>
      <c r="C743" s="9"/>
      <c r="D743" s="6"/>
      <c r="E743" s="9"/>
      <c r="F743" s="6"/>
      <c r="G743" s="6"/>
      <c r="H743" s="6"/>
      <c r="I743" s="6"/>
      <c r="J743" s="6"/>
      <c r="K743" s="6"/>
      <c r="L743" s="6"/>
      <c r="M743" s="6"/>
      <c r="N743" s="6"/>
      <c r="O743" s="6"/>
      <c r="P743" s="6"/>
      <c r="Q743" s="6"/>
      <c r="R743" s="6"/>
      <c r="S743" s="6"/>
      <c r="T743" s="6"/>
      <c r="U743" s="6"/>
      <c r="V743" s="6"/>
      <c r="W743" s="6"/>
      <c r="X743" s="6"/>
      <c r="Y743" s="6"/>
      <c r="Z743" s="6"/>
    </row>
    <row r="744">
      <c r="A744" s="9"/>
      <c r="B744" s="9"/>
      <c r="C744" s="9"/>
      <c r="D744" s="6"/>
      <c r="E744" s="9"/>
      <c r="F744" s="6"/>
      <c r="G744" s="6"/>
      <c r="H744" s="6"/>
      <c r="I744" s="6"/>
      <c r="J744" s="6"/>
      <c r="K744" s="6"/>
      <c r="L744" s="6"/>
      <c r="M744" s="6"/>
      <c r="N744" s="6"/>
      <c r="O744" s="6"/>
      <c r="P744" s="6"/>
      <c r="Q744" s="6"/>
      <c r="R744" s="6"/>
      <c r="S744" s="6"/>
      <c r="T744" s="6"/>
      <c r="U744" s="6"/>
      <c r="V744" s="6"/>
      <c r="W744" s="6"/>
      <c r="X744" s="6"/>
      <c r="Y744" s="6"/>
      <c r="Z744" s="6"/>
    </row>
    <row r="745">
      <c r="A745" s="9"/>
      <c r="B745" s="9"/>
      <c r="C745" s="9"/>
      <c r="D745" s="6"/>
      <c r="E745" s="9"/>
      <c r="F745" s="6"/>
      <c r="G745" s="6"/>
      <c r="H745" s="6"/>
      <c r="I745" s="6"/>
      <c r="J745" s="6"/>
      <c r="K745" s="6"/>
      <c r="L745" s="6"/>
      <c r="M745" s="6"/>
      <c r="N745" s="6"/>
      <c r="O745" s="6"/>
      <c r="P745" s="6"/>
      <c r="Q745" s="6"/>
      <c r="R745" s="6"/>
      <c r="S745" s="6"/>
      <c r="T745" s="6"/>
      <c r="U745" s="6"/>
      <c r="V745" s="6"/>
      <c r="W745" s="6"/>
      <c r="X745" s="6"/>
      <c r="Y745" s="6"/>
      <c r="Z745" s="6"/>
    </row>
    <row r="746">
      <c r="A746" s="9"/>
      <c r="B746" s="9"/>
      <c r="C746" s="9"/>
      <c r="D746" s="6"/>
      <c r="E746" s="9"/>
      <c r="F746" s="6"/>
      <c r="G746" s="6"/>
      <c r="H746" s="6"/>
      <c r="I746" s="6"/>
      <c r="J746" s="6"/>
      <c r="K746" s="6"/>
      <c r="L746" s="6"/>
      <c r="M746" s="6"/>
      <c r="N746" s="6"/>
      <c r="O746" s="6"/>
      <c r="P746" s="6"/>
      <c r="Q746" s="6"/>
      <c r="R746" s="6"/>
      <c r="S746" s="6"/>
      <c r="T746" s="6"/>
      <c r="U746" s="6"/>
      <c r="V746" s="6"/>
      <c r="W746" s="6"/>
      <c r="X746" s="6"/>
      <c r="Y746" s="6"/>
      <c r="Z746" s="6"/>
    </row>
    <row r="747">
      <c r="A747" s="9"/>
      <c r="B747" s="9"/>
      <c r="C747" s="9"/>
      <c r="D747" s="6"/>
      <c r="E747" s="9"/>
      <c r="F747" s="6"/>
      <c r="G747" s="6"/>
      <c r="H747" s="6"/>
      <c r="I747" s="6"/>
      <c r="J747" s="6"/>
      <c r="K747" s="6"/>
      <c r="L747" s="6"/>
      <c r="M747" s="6"/>
      <c r="N747" s="6"/>
      <c r="O747" s="6"/>
      <c r="P747" s="6"/>
      <c r="Q747" s="6"/>
      <c r="R747" s="6"/>
      <c r="S747" s="6"/>
      <c r="T747" s="6"/>
      <c r="U747" s="6"/>
      <c r="V747" s="6"/>
      <c r="W747" s="6"/>
      <c r="X747" s="6"/>
      <c r="Y747" s="6"/>
      <c r="Z747" s="6"/>
    </row>
    <row r="748">
      <c r="A748" s="9"/>
      <c r="B748" s="9"/>
      <c r="C748" s="9"/>
      <c r="D748" s="6"/>
      <c r="E748" s="9"/>
      <c r="F748" s="6"/>
      <c r="G748" s="6"/>
      <c r="H748" s="6"/>
      <c r="I748" s="6"/>
      <c r="J748" s="6"/>
      <c r="K748" s="6"/>
      <c r="L748" s="6"/>
      <c r="M748" s="6"/>
      <c r="N748" s="6"/>
      <c r="O748" s="6"/>
      <c r="P748" s="6"/>
      <c r="Q748" s="6"/>
      <c r="R748" s="6"/>
      <c r="S748" s="6"/>
      <c r="T748" s="6"/>
      <c r="U748" s="6"/>
      <c r="V748" s="6"/>
      <c r="W748" s="6"/>
      <c r="X748" s="6"/>
      <c r="Y748" s="6"/>
      <c r="Z748" s="6"/>
    </row>
    <row r="749">
      <c r="A749" s="9"/>
      <c r="B749" s="9"/>
      <c r="C749" s="9"/>
      <c r="D749" s="6"/>
      <c r="E749" s="9"/>
      <c r="F749" s="6"/>
      <c r="G749" s="6"/>
      <c r="H749" s="6"/>
      <c r="I749" s="6"/>
      <c r="J749" s="6"/>
      <c r="K749" s="6"/>
      <c r="L749" s="6"/>
      <c r="M749" s="6"/>
      <c r="N749" s="6"/>
      <c r="O749" s="6"/>
      <c r="P749" s="6"/>
      <c r="Q749" s="6"/>
      <c r="R749" s="6"/>
      <c r="S749" s="6"/>
      <c r="T749" s="6"/>
      <c r="U749" s="6"/>
      <c r="V749" s="6"/>
      <c r="W749" s="6"/>
      <c r="X749" s="6"/>
      <c r="Y749" s="6"/>
      <c r="Z749" s="6"/>
    </row>
    <row r="750">
      <c r="A750" s="9"/>
      <c r="B750" s="9"/>
      <c r="C750" s="9"/>
      <c r="D750" s="6"/>
      <c r="E750" s="9"/>
      <c r="F750" s="6"/>
      <c r="G750" s="6"/>
      <c r="H750" s="6"/>
      <c r="I750" s="6"/>
      <c r="J750" s="6"/>
      <c r="K750" s="6"/>
      <c r="L750" s="6"/>
      <c r="M750" s="6"/>
      <c r="N750" s="6"/>
      <c r="O750" s="6"/>
      <c r="P750" s="6"/>
      <c r="Q750" s="6"/>
      <c r="R750" s="6"/>
      <c r="S750" s="6"/>
      <c r="T750" s="6"/>
      <c r="U750" s="6"/>
      <c r="V750" s="6"/>
      <c r="W750" s="6"/>
      <c r="X750" s="6"/>
      <c r="Y750" s="6"/>
      <c r="Z750" s="6"/>
    </row>
    <row r="751">
      <c r="A751" s="9"/>
      <c r="B751" s="9"/>
      <c r="C751" s="9"/>
      <c r="D751" s="6"/>
      <c r="E751" s="9"/>
      <c r="F751" s="6"/>
      <c r="G751" s="6"/>
      <c r="H751" s="6"/>
      <c r="I751" s="6"/>
      <c r="J751" s="6"/>
      <c r="K751" s="6"/>
      <c r="L751" s="6"/>
      <c r="M751" s="6"/>
      <c r="N751" s="6"/>
      <c r="O751" s="6"/>
      <c r="P751" s="6"/>
      <c r="Q751" s="6"/>
      <c r="R751" s="6"/>
      <c r="S751" s="6"/>
      <c r="T751" s="6"/>
      <c r="U751" s="6"/>
      <c r="V751" s="6"/>
      <c r="W751" s="6"/>
      <c r="X751" s="6"/>
      <c r="Y751" s="6"/>
      <c r="Z751" s="6"/>
    </row>
    <row r="752">
      <c r="A752" s="9"/>
      <c r="B752" s="9"/>
      <c r="C752" s="9"/>
      <c r="D752" s="6"/>
      <c r="E752" s="9"/>
      <c r="F752" s="6"/>
      <c r="G752" s="6"/>
      <c r="H752" s="6"/>
      <c r="I752" s="6"/>
      <c r="J752" s="6"/>
      <c r="K752" s="6"/>
      <c r="L752" s="6"/>
      <c r="M752" s="6"/>
      <c r="N752" s="6"/>
      <c r="O752" s="6"/>
      <c r="P752" s="6"/>
      <c r="Q752" s="6"/>
      <c r="R752" s="6"/>
      <c r="S752" s="6"/>
      <c r="T752" s="6"/>
      <c r="U752" s="6"/>
      <c r="V752" s="6"/>
      <c r="W752" s="6"/>
      <c r="X752" s="6"/>
      <c r="Y752" s="6"/>
      <c r="Z752" s="6"/>
    </row>
    <row r="753">
      <c r="A753" s="9"/>
      <c r="B753" s="9"/>
      <c r="C753" s="9"/>
      <c r="D753" s="6"/>
      <c r="E753" s="9"/>
      <c r="F753" s="6"/>
      <c r="G753" s="6"/>
      <c r="H753" s="6"/>
      <c r="I753" s="6"/>
      <c r="J753" s="6"/>
      <c r="K753" s="6"/>
      <c r="L753" s="6"/>
      <c r="M753" s="6"/>
      <c r="N753" s="6"/>
      <c r="O753" s="6"/>
      <c r="P753" s="6"/>
      <c r="Q753" s="6"/>
      <c r="R753" s="6"/>
      <c r="S753" s="6"/>
      <c r="T753" s="6"/>
      <c r="U753" s="6"/>
      <c r="V753" s="6"/>
      <c r="W753" s="6"/>
      <c r="X753" s="6"/>
      <c r="Y753" s="6"/>
      <c r="Z753" s="6"/>
    </row>
    <row r="754">
      <c r="A754" s="9"/>
      <c r="B754" s="9"/>
      <c r="C754" s="9"/>
      <c r="D754" s="6"/>
      <c r="E754" s="9"/>
      <c r="F754" s="6"/>
      <c r="G754" s="6"/>
      <c r="H754" s="6"/>
      <c r="I754" s="6"/>
      <c r="J754" s="6"/>
      <c r="K754" s="6"/>
      <c r="L754" s="6"/>
      <c r="M754" s="6"/>
      <c r="N754" s="6"/>
      <c r="O754" s="6"/>
      <c r="P754" s="6"/>
      <c r="Q754" s="6"/>
      <c r="R754" s="6"/>
      <c r="S754" s="6"/>
      <c r="T754" s="6"/>
      <c r="U754" s="6"/>
      <c r="V754" s="6"/>
      <c r="W754" s="6"/>
      <c r="X754" s="6"/>
      <c r="Y754" s="6"/>
      <c r="Z754" s="6"/>
    </row>
    <row r="755">
      <c r="A755" s="9"/>
      <c r="B755" s="9"/>
      <c r="C755" s="9"/>
      <c r="D755" s="6"/>
      <c r="E755" s="9"/>
      <c r="F755" s="6"/>
      <c r="G755" s="6"/>
      <c r="H755" s="6"/>
      <c r="I755" s="6"/>
      <c r="J755" s="6"/>
      <c r="K755" s="6"/>
      <c r="L755" s="6"/>
      <c r="M755" s="6"/>
      <c r="N755" s="6"/>
      <c r="O755" s="6"/>
      <c r="P755" s="6"/>
      <c r="Q755" s="6"/>
      <c r="R755" s="6"/>
      <c r="S755" s="6"/>
      <c r="T755" s="6"/>
      <c r="U755" s="6"/>
      <c r="V755" s="6"/>
      <c r="W755" s="6"/>
      <c r="X755" s="6"/>
      <c r="Y755" s="6"/>
      <c r="Z755" s="6"/>
    </row>
    <row r="756">
      <c r="A756" s="9"/>
      <c r="B756" s="9"/>
      <c r="C756" s="9"/>
      <c r="D756" s="6"/>
      <c r="E756" s="9"/>
      <c r="F756" s="6"/>
      <c r="G756" s="6"/>
      <c r="H756" s="6"/>
      <c r="I756" s="6"/>
      <c r="J756" s="6"/>
      <c r="K756" s="6"/>
      <c r="L756" s="6"/>
      <c r="M756" s="6"/>
      <c r="N756" s="6"/>
      <c r="O756" s="6"/>
      <c r="P756" s="6"/>
      <c r="Q756" s="6"/>
      <c r="R756" s="6"/>
      <c r="S756" s="6"/>
      <c r="T756" s="6"/>
      <c r="U756" s="6"/>
      <c r="V756" s="6"/>
      <c r="W756" s="6"/>
      <c r="X756" s="6"/>
      <c r="Y756" s="6"/>
      <c r="Z756" s="6"/>
    </row>
    <row r="757">
      <c r="A757" s="9"/>
      <c r="B757" s="9"/>
      <c r="C757" s="9"/>
      <c r="D757" s="6"/>
      <c r="E757" s="9"/>
      <c r="F757" s="6"/>
      <c r="G757" s="6"/>
      <c r="H757" s="6"/>
      <c r="I757" s="6"/>
      <c r="J757" s="6"/>
      <c r="K757" s="6"/>
      <c r="L757" s="6"/>
      <c r="M757" s="6"/>
      <c r="N757" s="6"/>
      <c r="O757" s="6"/>
      <c r="P757" s="6"/>
      <c r="Q757" s="6"/>
      <c r="R757" s="6"/>
      <c r="S757" s="6"/>
      <c r="T757" s="6"/>
      <c r="U757" s="6"/>
      <c r="V757" s="6"/>
      <c r="W757" s="6"/>
      <c r="X757" s="6"/>
      <c r="Y757" s="6"/>
      <c r="Z757" s="6"/>
    </row>
    <row r="758">
      <c r="A758" s="9"/>
      <c r="B758" s="9"/>
      <c r="C758" s="9"/>
      <c r="D758" s="6"/>
      <c r="E758" s="9"/>
      <c r="F758" s="6"/>
      <c r="G758" s="6"/>
      <c r="H758" s="6"/>
      <c r="I758" s="6"/>
      <c r="J758" s="6"/>
      <c r="K758" s="6"/>
      <c r="L758" s="6"/>
      <c r="M758" s="6"/>
      <c r="N758" s="6"/>
      <c r="O758" s="6"/>
      <c r="P758" s="6"/>
      <c r="Q758" s="6"/>
      <c r="R758" s="6"/>
      <c r="S758" s="6"/>
      <c r="T758" s="6"/>
      <c r="U758" s="6"/>
      <c r="V758" s="6"/>
      <c r="W758" s="6"/>
      <c r="X758" s="6"/>
      <c r="Y758" s="6"/>
      <c r="Z758" s="6"/>
    </row>
    <row r="759">
      <c r="A759" s="9"/>
      <c r="B759" s="9"/>
      <c r="C759" s="9"/>
      <c r="D759" s="6"/>
      <c r="E759" s="9"/>
      <c r="F759" s="6"/>
      <c r="G759" s="6"/>
      <c r="H759" s="6"/>
      <c r="I759" s="6"/>
      <c r="J759" s="6"/>
      <c r="K759" s="6"/>
      <c r="L759" s="6"/>
      <c r="M759" s="6"/>
      <c r="N759" s="6"/>
      <c r="O759" s="6"/>
      <c r="P759" s="6"/>
      <c r="Q759" s="6"/>
      <c r="R759" s="6"/>
      <c r="S759" s="6"/>
      <c r="T759" s="6"/>
      <c r="U759" s="6"/>
      <c r="V759" s="6"/>
      <c r="W759" s="6"/>
      <c r="X759" s="6"/>
      <c r="Y759" s="6"/>
      <c r="Z759" s="6"/>
    </row>
    <row r="760">
      <c r="A760" s="9"/>
      <c r="B760" s="9"/>
      <c r="C760" s="9"/>
      <c r="D760" s="6"/>
      <c r="E760" s="9"/>
      <c r="F760" s="6"/>
      <c r="G760" s="6"/>
      <c r="H760" s="6"/>
      <c r="I760" s="6"/>
      <c r="J760" s="6"/>
      <c r="K760" s="6"/>
      <c r="L760" s="6"/>
      <c r="M760" s="6"/>
      <c r="N760" s="6"/>
      <c r="O760" s="6"/>
      <c r="P760" s="6"/>
      <c r="Q760" s="6"/>
      <c r="R760" s="6"/>
      <c r="S760" s="6"/>
      <c r="T760" s="6"/>
      <c r="U760" s="6"/>
      <c r="V760" s="6"/>
      <c r="W760" s="6"/>
      <c r="X760" s="6"/>
      <c r="Y760" s="6"/>
      <c r="Z760" s="6"/>
    </row>
    <row r="761">
      <c r="A761" s="9"/>
      <c r="B761" s="9"/>
      <c r="C761" s="9"/>
      <c r="D761" s="6"/>
      <c r="E761" s="9"/>
      <c r="F761" s="6"/>
      <c r="G761" s="6"/>
      <c r="H761" s="6"/>
      <c r="I761" s="6"/>
      <c r="J761" s="6"/>
      <c r="K761" s="6"/>
      <c r="L761" s="6"/>
      <c r="M761" s="6"/>
      <c r="N761" s="6"/>
      <c r="O761" s="6"/>
      <c r="P761" s="6"/>
      <c r="Q761" s="6"/>
      <c r="R761" s="6"/>
      <c r="S761" s="6"/>
      <c r="T761" s="6"/>
      <c r="U761" s="6"/>
      <c r="V761" s="6"/>
      <c r="W761" s="6"/>
      <c r="X761" s="6"/>
      <c r="Y761" s="6"/>
      <c r="Z761" s="6"/>
    </row>
    <row r="762">
      <c r="A762" s="9"/>
      <c r="B762" s="9"/>
      <c r="C762" s="9"/>
      <c r="D762" s="6"/>
      <c r="E762" s="9"/>
      <c r="F762" s="6"/>
      <c r="G762" s="6"/>
      <c r="H762" s="6"/>
      <c r="I762" s="6"/>
      <c r="J762" s="6"/>
      <c r="K762" s="6"/>
      <c r="L762" s="6"/>
      <c r="M762" s="6"/>
      <c r="N762" s="6"/>
      <c r="O762" s="6"/>
      <c r="P762" s="6"/>
      <c r="Q762" s="6"/>
      <c r="R762" s="6"/>
      <c r="S762" s="6"/>
      <c r="T762" s="6"/>
      <c r="U762" s="6"/>
      <c r="V762" s="6"/>
      <c r="W762" s="6"/>
      <c r="X762" s="6"/>
      <c r="Y762" s="6"/>
      <c r="Z762" s="6"/>
    </row>
    <row r="763">
      <c r="A763" s="9"/>
      <c r="B763" s="9"/>
      <c r="C763" s="9"/>
      <c r="D763" s="6"/>
      <c r="E763" s="9"/>
      <c r="F763" s="6"/>
      <c r="G763" s="6"/>
      <c r="H763" s="6"/>
      <c r="I763" s="6"/>
      <c r="J763" s="6"/>
      <c r="K763" s="6"/>
      <c r="L763" s="6"/>
      <c r="M763" s="6"/>
      <c r="N763" s="6"/>
      <c r="O763" s="6"/>
      <c r="P763" s="6"/>
      <c r="Q763" s="6"/>
      <c r="R763" s="6"/>
      <c r="S763" s="6"/>
      <c r="T763" s="6"/>
      <c r="U763" s="6"/>
      <c r="V763" s="6"/>
      <c r="W763" s="6"/>
      <c r="X763" s="6"/>
      <c r="Y763" s="6"/>
      <c r="Z763" s="6"/>
    </row>
    <row r="764">
      <c r="A764" s="9"/>
      <c r="B764" s="9"/>
      <c r="C764" s="9"/>
      <c r="D764" s="6"/>
      <c r="E764" s="9"/>
      <c r="F764" s="6"/>
      <c r="G764" s="6"/>
      <c r="H764" s="6"/>
      <c r="I764" s="6"/>
      <c r="J764" s="6"/>
      <c r="K764" s="6"/>
      <c r="L764" s="6"/>
      <c r="M764" s="6"/>
      <c r="N764" s="6"/>
      <c r="O764" s="6"/>
      <c r="P764" s="6"/>
      <c r="Q764" s="6"/>
      <c r="R764" s="6"/>
      <c r="S764" s="6"/>
      <c r="T764" s="6"/>
      <c r="U764" s="6"/>
      <c r="V764" s="6"/>
      <c r="W764" s="6"/>
      <c r="X764" s="6"/>
      <c r="Y764" s="6"/>
      <c r="Z764" s="6"/>
    </row>
    <row r="765">
      <c r="A765" s="9"/>
      <c r="B765" s="9"/>
      <c r="C765" s="9"/>
      <c r="D765" s="6"/>
      <c r="E765" s="9"/>
      <c r="F765" s="6"/>
      <c r="G765" s="6"/>
      <c r="H765" s="6"/>
      <c r="I765" s="6"/>
      <c r="J765" s="6"/>
      <c r="K765" s="6"/>
      <c r="L765" s="6"/>
      <c r="M765" s="6"/>
      <c r="N765" s="6"/>
      <c r="O765" s="6"/>
      <c r="P765" s="6"/>
      <c r="Q765" s="6"/>
      <c r="R765" s="6"/>
      <c r="S765" s="6"/>
      <c r="T765" s="6"/>
      <c r="U765" s="6"/>
      <c r="V765" s="6"/>
      <c r="W765" s="6"/>
      <c r="X765" s="6"/>
      <c r="Y765" s="6"/>
      <c r="Z765" s="6"/>
    </row>
    <row r="766">
      <c r="A766" s="9"/>
      <c r="B766" s="9"/>
      <c r="C766" s="9"/>
      <c r="D766" s="6"/>
      <c r="E766" s="9"/>
      <c r="F766" s="6"/>
      <c r="G766" s="6"/>
      <c r="H766" s="6"/>
      <c r="I766" s="6"/>
      <c r="J766" s="6"/>
      <c r="K766" s="6"/>
      <c r="L766" s="6"/>
      <c r="M766" s="6"/>
      <c r="N766" s="6"/>
      <c r="O766" s="6"/>
      <c r="P766" s="6"/>
      <c r="Q766" s="6"/>
      <c r="R766" s="6"/>
      <c r="S766" s="6"/>
      <c r="T766" s="6"/>
      <c r="U766" s="6"/>
      <c r="V766" s="6"/>
      <c r="W766" s="6"/>
      <c r="X766" s="6"/>
      <c r="Y766" s="6"/>
      <c r="Z766" s="6"/>
    </row>
    <row r="767">
      <c r="A767" s="9"/>
      <c r="B767" s="9"/>
      <c r="C767" s="9"/>
      <c r="D767" s="6"/>
      <c r="E767" s="9"/>
      <c r="F767" s="6"/>
      <c r="G767" s="6"/>
      <c r="H767" s="6"/>
      <c r="I767" s="6"/>
      <c r="J767" s="6"/>
      <c r="K767" s="6"/>
      <c r="L767" s="6"/>
      <c r="M767" s="6"/>
      <c r="N767" s="6"/>
      <c r="O767" s="6"/>
      <c r="P767" s="6"/>
      <c r="Q767" s="6"/>
      <c r="R767" s="6"/>
      <c r="S767" s="6"/>
      <c r="T767" s="6"/>
      <c r="U767" s="6"/>
      <c r="V767" s="6"/>
      <c r="W767" s="6"/>
      <c r="X767" s="6"/>
      <c r="Y767" s="6"/>
      <c r="Z767" s="6"/>
    </row>
    <row r="768">
      <c r="A768" s="9"/>
      <c r="B768" s="9"/>
      <c r="C768" s="9"/>
      <c r="D768" s="6"/>
      <c r="E768" s="9"/>
      <c r="F768" s="6"/>
      <c r="G768" s="6"/>
      <c r="H768" s="6"/>
      <c r="I768" s="6"/>
      <c r="J768" s="6"/>
      <c r="K768" s="6"/>
      <c r="L768" s="6"/>
      <c r="M768" s="6"/>
      <c r="N768" s="6"/>
      <c r="O768" s="6"/>
      <c r="P768" s="6"/>
      <c r="Q768" s="6"/>
      <c r="R768" s="6"/>
      <c r="S768" s="6"/>
      <c r="T768" s="6"/>
      <c r="U768" s="6"/>
      <c r="V768" s="6"/>
      <c r="W768" s="6"/>
      <c r="X768" s="6"/>
      <c r="Y768" s="6"/>
      <c r="Z768" s="6"/>
    </row>
    <row r="769">
      <c r="A769" s="9"/>
      <c r="B769" s="9"/>
      <c r="C769" s="9"/>
      <c r="D769" s="6"/>
      <c r="E769" s="9"/>
      <c r="F769" s="6"/>
      <c r="G769" s="6"/>
      <c r="H769" s="6"/>
      <c r="I769" s="6"/>
      <c r="J769" s="6"/>
      <c r="K769" s="6"/>
      <c r="L769" s="6"/>
      <c r="M769" s="6"/>
      <c r="N769" s="6"/>
      <c r="O769" s="6"/>
      <c r="P769" s="6"/>
      <c r="Q769" s="6"/>
      <c r="R769" s="6"/>
      <c r="S769" s="6"/>
      <c r="T769" s="6"/>
      <c r="U769" s="6"/>
      <c r="V769" s="6"/>
      <c r="W769" s="6"/>
      <c r="X769" s="6"/>
      <c r="Y769" s="6"/>
      <c r="Z769" s="6"/>
    </row>
    <row r="770">
      <c r="A770" s="9"/>
      <c r="B770" s="9"/>
      <c r="C770" s="9"/>
      <c r="D770" s="6"/>
      <c r="E770" s="9"/>
      <c r="F770" s="6"/>
      <c r="G770" s="6"/>
      <c r="H770" s="6"/>
      <c r="I770" s="6"/>
      <c r="J770" s="6"/>
      <c r="K770" s="6"/>
      <c r="L770" s="6"/>
      <c r="M770" s="6"/>
      <c r="N770" s="6"/>
      <c r="O770" s="6"/>
      <c r="P770" s="6"/>
      <c r="Q770" s="6"/>
      <c r="R770" s="6"/>
      <c r="S770" s="6"/>
      <c r="T770" s="6"/>
      <c r="U770" s="6"/>
      <c r="V770" s="6"/>
      <c r="W770" s="6"/>
      <c r="X770" s="6"/>
      <c r="Y770" s="6"/>
      <c r="Z770" s="6"/>
    </row>
    <row r="771">
      <c r="A771" s="9"/>
      <c r="B771" s="9"/>
      <c r="C771" s="9"/>
      <c r="D771" s="6"/>
      <c r="E771" s="9"/>
      <c r="F771" s="6"/>
      <c r="G771" s="6"/>
      <c r="H771" s="6"/>
      <c r="I771" s="6"/>
      <c r="J771" s="6"/>
      <c r="K771" s="6"/>
      <c r="L771" s="6"/>
      <c r="M771" s="6"/>
      <c r="N771" s="6"/>
      <c r="O771" s="6"/>
      <c r="P771" s="6"/>
      <c r="Q771" s="6"/>
      <c r="R771" s="6"/>
      <c r="S771" s="6"/>
      <c r="T771" s="6"/>
      <c r="U771" s="6"/>
      <c r="V771" s="6"/>
      <c r="W771" s="6"/>
      <c r="X771" s="6"/>
      <c r="Y771" s="6"/>
      <c r="Z771" s="6"/>
    </row>
    <row r="772">
      <c r="A772" s="9"/>
      <c r="B772" s="9"/>
      <c r="C772" s="9"/>
      <c r="D772" s="6"/>
      <c r="E772" s="9"/>
      <c r="F772" s="6"/>
      <c r="G772" s="6"/>
      <c r="H772" s="6"/>
      <c r="I772" s="6"/>
      <c r="J772" s="6"/>
      <c r="K772" s="6"/>
      <c r="L772" s="6"/>
      <c r="M772" s="6"/>
      <c r="N772" s="6"/>
      <c r="O772" s="6"/>
      <c r="P772" s="6"/>
      <c r="Q772" s="6"/>
      <c r="R772" s="6"/>
      <c r="S772" s="6"/>
      <c r="T772" s="6"/>
      <c r="U772" s="6"/>
      <c r="V772" s="6"/>
      <c r="W772" s="6"/>
      <c r="X772" s="6"/>
      <c r="Y772" s="6"/>
      <c r="Z772" s="6"/>
    </row>
    <row r="773">
      <c r="A773" s="9"/>
      <c r="B773" s="9"/>
      <c r="C773" s="9"/>
      <c r="D773" s="6"/>
      <c r="E773" s="9"/>
      <c r="F773" s="6"/>
      <c r="G773" s="6"/>
      <c r="H773" s="6"/>
      <c r="I773" s="6"/>
      <c r="J773" s="6"/>
      <c r="K773" s="6"/>
      <c r="L773" s="6"/>
      <c r="M773" s="6"/>
      <c r="N773" s="6"/>
      <c r="O773" s="6"/>
      <c r="P773" s="6"/>
      <c r="Q773" s="6"/>
      <c r="R773" s="6"/>
      <c r="S773" s="6"/>
      <c r="T773" s="6"/>
      <c r="U773" s="6"/>
      <c r="V773" s="6"/>
      <c r="W773" s="6"/>
      <c r="X773" s="6"/>
      <c r="Y773" s="6"/>
      <c r="Z773" s="6"/>
    </row>
    <row r="774">
      <c r="A774" s="9"/>
      <c r="B774" s="9"/>
      <c r="C774" s="9"/>
      <c r="D774" s="6"/>
      <c r="E774" s="9"/>
      <c r="F774" s="6"/>
      <c r="G774" s="6"/>
      <c r="H774" s="6"/>
      <c r="I774" s="6"/>
      <c r="J774" s="6"/>
      <c r="K774" s="6"/>
      <c r="L774" s="6"/>
      <c r="M774" s="6"/>
      <c r="N774" s="6"/>
      <c r="O774" s="6"/>
      <c r="P774" s="6"/>
      <c r="Q774" s="6"/>
      <c r="R774" s="6"/>
      <c r="S774" s="6"/>
      <c r="T774" s="6"/>
      <c r="U774" s="6"/>
      <c r="V774" s="6"/>
      <c r="W774" s="6"/>
      <c r="X774" s="6"/>
      <c r="Y774" s="6"/>
      <c r="Z774" s="6"/>
    </row>
    <row r="775">
      <c r="A775" s="9"/>
      <c r="B775" s="9"/>
      <c r="C775" s="9"/>
      <c r="D775" s="6"/>
      <c r="E775" s="9"/>
      <c r="F775" s="6"/>
      <c r="G775" s="6"/>
      <c r="H775" s="6"/>
      <c r="I775" s="6"/>
      <c r="J775" s="6"/>
      <c r="K775" s="6"/>
      <c r="L775" s="6"/>
      <c r="M775" s="6"/>
      <c r="N775" s="6"/>
      <c r="O775" s="6"/>
      <c r="P775" s="6"/>
      <c r="Q775" s="6"/>
      <c r="R775" s="6"/>
      <c r="S775" s="6"/>
      <c r="T775" s="6"/>
      <c r="U775" s="6"/>
      <c r="V775" s="6"/>
      <c r="W775" s="6"/>
      <c r="X775" s="6"/>
      <c r="Y775" s="6"/>
      <c r="Z775" s="6"/>
    </row>
    <row r="776">
      <c r="A776" s="9"/>
      <c r="B776" s="9"/>
      <c r="C776" s="9"/>
      <c r="D776" s="6"/>
      <c r="E776" s="9"/>
      <c r="F776" s="6"/>
      <c r="G776" s="6"/>
      <c r="H776" s="6"/>
      <c r="I776" s="6"/>
      <c r="J776" s="6"/>
      <c r="K776" s="6"/>
      <c r="L776" s="6"/>
      <c r="M776" s="6"/>
      <c r="N776" s="6"/>
      <c r="O776" s="6"/>
      <c r="P776" s="6"/>
      <c r="Q776" s="6"/>
      <c r="R776" s="6"/>
      <c r="S776" s="6"/>
      <c r="T776" s="6"/>
      <c r="U776" s="6"/>
      <c r="V776" s="6"/>
      <c r="W776" s="6"/>
      <c r="X776" s="6"/>
      <c r="Y776" s="6"/>
      <c r="Z776" s="6"/>
    </row>
    <row r="777">
      <c r="A777" s="9"/>
      <c r="B777" s="9"/>
      <c r="C777" s="9"/>
      <c r="D777" s="6"/>
      <c r="E777" s="9"/>
      <c r="F777" s="6"/>
      <c r="G777" s="6"/>
      <c r="H777" s="6"/>
      <c r="I777" s="6"/>
      <c r="J777" s="6"/>
      <c r="K777" s="6"/>
      <c r="L777" s="6"/>
      <c r="M777" s="6"/>
      <c r="N777" s="6"/>
      <c r="O777" s="6"/>
      <c r="P777" s="6"/>
      <c r="Q777" s="6"/>
      <c r="R777" s="6"/>
      <c r="S777" s="6"/>
      <c r="T777" s="6"/>
      <c r="U777" s="6"/>
      <c r="V777" s="6"/>
      <c r="W777" s="6"/>
      <c r="X777" s="6"/>
      <c r="Y777" s="6"/>
      <c r="Z777" s="6"/>
    </row>
    <row r="778">
      <c r="A778" s="9"/>
      <c r="B778" s="9"/>
      <c r="C778" s="9"/>
      <c r="D778" s="6"/>
      <c r="E778" s="9"/>
      <c r="F778" s="6"/>
      <c r="G778" s="6"/>
      <c r="H778" s="6"/>
      <c r="I778" s="6"/>
      <c r="J778" s="6"/>
      <c r="K778" s="6"/>
      <c r="L778" s="6"/>
      <c r="M778" s="6"/>
      <c r="N778" s="6"/>
      <c r="O778" s="6"/>
      <c r="P778" s="6"/>
      <c r="Q778" s="6"/>
      <c r="R778" s="6"/>
      <c r="S778" s="6"/>
      <c r="T778" s="6"/>
      <c r="U778" s="6"/>
      <c r="V778" s="6"/>
      <c r="W778" s="6"/>
      <c r="X778" s="6"/>
      <c r="Y778" s="6"/>
      <c r="Z778" s="6"/>
    </row>
    <row r="779">
      <c r="A779" s="9"/>
      <c r="B779" s="9"/>
      <c r="C779" s="9"/>
      <c r="D779" s="6"/>
      <c r="E779" s="9"/>
      <c r="F779" s="6"/>
      <c r="G779" s="6"/>
      <c r="H779" s="6"/>
      <c r="I779" s="6"/>
      <c r="J779" s="6"/>
      <c r="K779" s="6"/>
      <c r="L779" s="6"/>
      <c r="M779" s="6"/>
      <c r="N779" s="6"/>
      <c r="O779" s="6"/>
      <c r="P779" s="6"/>
      <c r="Q779" s="6"/>
      <c r="R779" s="6"/>
      <c r="S779" s="6"/>
      <c r="T779" s="6"/>
      <c r="U779" s="6"/>
      <c r="V779" s="6"/>
      <c r="W779" s="6"/>
      <c r="X779" s="6"/>
      <c r="Y779" s="6"/>
      <c r="Z779" s="6"/>
    </row>
    <row r="780">
      <c r="A780" s="9"/>
      <c r="B780" s="9"/>
      <c r="C780" s="9"/>
      <c r="D780" s="6"/>
      <c r="E780" s="9"/>
      <c r="F780" s="6"/>
      <c r="G780" s="6"/>
      <c r="H780" s="6"/>
      <c r="I780" s="6"/>
      <c r="J780" s="6"/>
      <c r="K780" s="6"/>
      <c r="L780" s="6"/>
      <c r="M780" s="6"/>
      <c r="N780" s="6"/>
      <c r="O780" s="6"/>
      <c r="P780" s="6"/>
      <c r="Q780" s="6"/>
      <c r="R780" s="6"/>
      <c r="S780" s="6"/>
      <c r="T780" s="6"/>
      <c r="U780" s="6"/>
      <c r="V780" s="6"/>
      <c r="W780" s="6"/>
      <c r="X780" s="6"/>
      <c r="Y780" s="6"/>
      <c r="Z780" s="6"/>
    </row>
    <row r="781">
      <c r="A781" s="9"/>
      <c r="B781" s="9"/>
      <c r="C781" s="9"/>
      <c r="D781" s="6"/>
      <c r="E781" s="9"/>
      <c r="F781" s="6"/>
      <c r="G781" s="6"/>
      <c r="H781" s="6"/>
      <c r="I781" s="6"/>
      <c r="J781" s="6"/>
      <c r="K781" s="6"/>
      <c r="L781" s="6"/>
      <c r="M781" s="6"/>
      <c r="N781" s="6"/>
      <c r="O781" s="6"/>
      <c r="P781" s="6"/>
      <c r="Q781" s="6"/>
      <c r="R781" s="6"/>
      <c r="S781" s="6"/>
      <c r="T781" s="6"/>
      <c r="U781" s="6"/>
      <c r="V781" s="6"/>
      <c r="W781" s="6"/>
      <c r="X781" s="6"/>
      <c r="Y781" s="6"/>
      <c r="Z781" s="6"/>
    </row>
    <row r="782">
      <c r="A782" s="9"/>
      <c r="B782" s="9"/>
      <c r="C782" s="9"/>
      <c r="D782" s="6"/>
      <c r="E782" s="9"/>
      <c r="F782" s="6"/>
      <c r="G782" s="6"/>
      <c r="H782" s="6"/>
      <c r="I782" s="6"/>
      <c r="J782" s="6"/>
      <c r="K782" s="6"/>
      <c r="L782" s="6"/>
      <c r="M782" s="6"/>
      <c r="N782" s="6"/>
      <c r="O782" s="6"/>
      <c r="P782" s="6"/>
      <c r="Q782" s="6"/>
      <c r="R782" s="6"/>
      <c r="S782" s="6"/>
      <c r="T782" s="6"/>
      <c r="U782" s="6"/>
      <c r="V782" s="6"/>
      <c r="W782" s="6"/>
      <c r="X782" s="6"/>
      <c r="Y782" s="6"/>
      <c r="Z782" s="6"/>
    </row>
    <row r="783">
      <c r="A783" s="9"/>
      <c r="B783" s="9"/>
      <c r="C783" s="9"/>
      <c r="D783" s="6"/>
      <c r="E783" s="9"/>
      <c r="F783" s="6"/>
      <c r="G783" s="6"/>
      <c r="H783" s="6"/>
      <c r="I783" s="6"/>
      <c r="J783" s="6"/>
      <c r="K783" s="6"/>
      <c r="L783" s="6"/>
      <c r="M783" s="6"/>
      <c r="N783" s="6"/>
      <c r="O783" s="6"/>
      <c r="P783" s="6"/>
      <c r="Q783" s="6"/>
      <c r="R783" s="6"/>
      <c r="S783" s="6"/>
      <c r="T783" s="6"/>
      <c r="U783" s="6"/>
      <c r="V783" s="6"/>
      <c r="W783" s="6"/>
      <c r="X783" s="6"/>
      <c r="Y783" s="6"/>
      <c r="Z783" s="6"/>
    </row>
    <row r="784">
      <c r="A784" s="9"/>
      <c r="B784" s="9"/>
      <c r="C784" s="9"/>
      <c r="D784" s="6"/>
      <c r="E784" s="9"/>
      <c r="F784" s="6"/>
      <c r="G784" s="6"/>
      <c r="H784" s="6"/>
      <c r="I784" s="6"/>
      <c r="J784" s="6"/>
      <c r="K784" s="6"/>
      <c r="L784" s="6"/>
      <c r="M784" s="6"/>
      <c r="N784" s="6"/>
      <c r="O784" s="6"/>
      <c r="P784" s="6"/>
      <c r="Q784" s="6"/>
      <c r="R784" s="6"/>
      <c r="S784" s="6"/>
      <c r="T784" s="6"/>
      <c r="U784" s="6"/>
      <c r="V784" s="6"/>
      <c r="W784" s="6"/>
      <c r="X784" s="6"/>
      <c r="Y784" s="6"/>
      <c r="Z784" s="6"/>
    </row>
    <row r="785">
      <c r="A785" s="9"/>
      <c r="B785" s="9"/>
      <c r="C785" s="9"/>
      <c r="D785" s="6"/>
      <c r="E785" s="9"/>
      <c r="F785" s="6"/>
      <c r="G785" s="6"/>
      <c r="H785" s="6"/>
      <c r="I785" s="6"/>
      <c r="J785" s="6"/>
      <c r="K785" s="6"/>
      <c r="L785" s="6"/>
      <c r="M785" s="6"/>
      <c r="N785" s="6"/>
      <c r="O785" s="6"/>
      <c r="P785" s="6"/>
      <c r="Q785" s="6"/>
      <c r="R785" s="6"/>
      <c r="S785" s="6"/>
      <c r="T785" s="6"/>
      <c r="U785" s="6"/>
      <c r="V785" s="6"/>
      <c r="W785" s="6"/>
      <c r="X785" s="6"/>
      <c r="Y785" s="6"/>
      <c r="Z785" s="6"/>
    </row>
    <row r="786">
      <c r="A786" s="9"/>
      <c r="B786" s="9"/>
      <c r="C786" s="9"/>
      <c r="D786" s="6"/>
      <c r="E786" s="9"/>
      <c r="F786" s="6"/>
      <c r="G786" s="6"/>
      <c r="H786" s="6"/>
      <c r="I786" s="6"/>
      <c r="J786" s="6"/>
      <c r="K786" s="6"/>
      <c r="L786" s="6"/>
      <c r="M786" s="6"/>
      <c r="N786" s="6"/>
      <c r="O786" s="6"/>
      <c r="P786" s="6"/>
      <c r="Q786" s="6"/>
      <c r="R786" s="6"/>
      <c r="S786" s="6"/>
      <c r="T786" s="6"/>
      <c r="U786" s="6"/>
      <c r="V786" s="6"/>
      <c r="W786" s="6"/>
      <c r="X786" s="6"/>
      <c r="Y786" s="6"/>
      <c r="Z786" s="6"/>
    </row>
    <row r="787">
      <c r="A787" s="9"/>
      <c r="B787" s="9"/>
      <c r="C787" s="9"/>
      <c r="D787" s="6"/>
      <c r="E787" s="9"/>
      <c r="F787" s="6"/>
      <c r="G787" s="6"/>
      <c r="H787" s="6"/>
      <c r="I787" s="6"/>
      <c r="J787" s="6"/>
      <c r="K787" s="6"/>
      <c r="L787" s="6"/>
      <c r="M787" s="6"/>
      <c r="N787" s="6"/>
      <c r="O787" s="6"/>
      <c r="P787" s="6"/>
      <c r="Q787" s="6"/>
      <c r="R787" s="6"/>
      <c r="S787" s="6"/>
      <c r="T787" s="6"/>
      <c r="U787" s="6"/>
      <c r="V787" s="6"/>
      <c r="W787" s="6"/>
      <c r="X787" s="6"/>
      <c r="Y787" s="6"/>
      <c r="Z787" s="6"/>
    </row>
    <row r="788">
      <c r="A788" s="9"/>
      <c r="B788" s="9"/>
      <c r="C788" s="9"/>
      <c r="D788" s="6"/>
      <c r="E788" s="9"/>
      <c r="F788" s="6"/>
      <c r="G788" s="6"/>
      <c r="H788" s="6"/>
      <c r="I788" s="6"/>
      <c r="J788" s="6"/>
      <c r="K788" s="6"/>
      <c r="L788" s="6"/>
      <c r="M788" s="6"/>
      <c r="N788" s="6"/>
      <c r="O788" s="6"/>
      <c r="P788" s="6"/>
      <c r="Q788" s="6"/>
      <c r="R788" s="6"/>
      <c r="S788" s="6"/>
      <c r="T788" s="6"/>
      <c r="U788" s="6"/>
      <c r="V788" s="6"/>
      <c r="W788" s="6"/>
      <c r="X788" s="6"/>
      <c r="Y788" s="6"/>
      <c r="Z788" s="6"/>
    </row>
    <row r="789">
      <c r="A789" s="9"/>
      <c r="B789" s="9"/>
      <c r="C789" s="9"/>
      <c r="D789" s="6"/>
      <c r="E789" s="9"/>
      <c r="F789" s="6"/>
      <c r="G789" s="6"/>
      <c r="H789" s="6"/>
      <c r="I789" s="6"/>
      <c r="J789" s="6"/>
      <c r="K789" s="6"/>
      <c r="L789" s="6"/>
      <c r="M789" s="6"/>
      <c r="N789" s="6"/>
      <c r="O789" s="6"/>
      <c r="P789" s="6"/>
      <c r="Q789" s="6"/>
      <c r="R789" s="6"/>
      <c r="S789" s="6"/>
      <c r="T789" s="6"/>
      <c r="U789" s="6"/>
      <c r="V789" s="6"/>
      <c r="W789" s="6"/>
      <c r="X789" s="6"/>
      <c r="Y789" s="6"/>
      <c r="Z789" s="6"/>
    </row>
    <row r="790">
      <c r="A790" s="9"/>
      <c r="B790" s="9"/>
      <c r="C790" s="9"/>
      <c r="D790" s="6"/>
      <c r="E790" s="9"/>
      <c r="F790" s="6"/>
      <c r="G790" s="6"/>
      <c r="H790" s="6"/>
      <c r="I790" s="6"/>
      <c r="J790" s="6"/>
      <c r="K790" s="6"/>
      <c r="L790" s="6"/>
      <c r="M790" s="6"/>
      <c r="N790" s="6"/>
      <c r="O790" s="6"/>
      <c r="P790" s="6"/>
      <c r="Q790" s="6"/>
      <c r="R790" s="6"/>
      <c r="S790" s="6"/>
      <c r="T790" s="6"/>
      <c r="U790" s="6"/>
      <c r="V790" s="6"/>
      <c r="W790" s="6"/>
      <c r="X790" s="6"/>
      <c r="Y790" s="6"/>
      <c r="Z790" s="6"/>
    </row>
    <row r="791">
      <c r="A791" s="9"/>
      <c r="B791" s="9"/>
      <c r="C791" s="9"/>
      <c r="D791" s="6"/>
      <c r="E791" s="9"/>
      <c r="F791" s="6"/>
      <c r="G791" s="6"/>
      <c r="H791" s="6"/>
      <c r="I791" s="6"/>
      <c r="J791" s="6"/>
      <c r="K791" s="6"/>
      <c r="L791" s="6"/>
      <c r="M791" s="6"/>
      <c r="N791" s="6"/>
      <c r="O791" s="6"/>
      <c r="P791" s="6"/>
      <c r="Q791" s="6"/>
      <c r="R791" s="6"/>
      <c r="S791" s="6"/>
      <c r="T791" s="6"/>
      <c r="U791" s="6"/>
      <c r="V791" s="6"/>
      <c r="W791" s="6"/>
      <c r="X791" s="6"/>
      <c r="Y791" s="6"/>
      <c r="Z791" s="6"/>
    </row>
    <row r="792">
      <c r="A792" s="9"/>
      <c r="B792" s="9"/>
      <c r="C792" s="9"/>
      <c r="D792" s="6"/>
      <c r="E792" s="9"/>
      <c r="F792" s="6"/>
      <c r="G792" s="6"/>
      <c r="H792" s="6"/>
      <c r="I792" s="6"/>
      <c r="J792" s="6"/>
      <c r="K792" s="6"/>
      <c r="L792" s="6"/>
      <c r="M792" s="6"/>
      <c r="N792" s="6"/>
      <c r="O792" s="6"/>
      <c r="P792" s="6"/>
      <c r="Q792" s="6"/>
      <c r="R792" s="6"/>
      <c r="S792" s="6"/>
      <c r="T792" s="6"/>
      <c r="U792" s="6"/>
      <c r="V792" s="6"/>
      <c r="W792" s="6"/>
      <c r="X792" s="6"/>
      <c r="Y792" s="6"/>
      <c r="Z792" s="6"/>
    </row>
    <row r="793">
      <c r="A793" s="9"/>
      <c r="B793" s="9"/>
      <c r="C793" s="9"/>
      <c r="D793" s="6"/>
      <c r="E793" s="9"/>
      <c r="F793" s="6"/>
      <c r="G793" s="6"/>
      <c r="H793" s="6"/>
      <c r="I793" s="6"/>
      <c r="J793" s="6"/>
      <c r="K793" s="6"/>
      <c r="L793" s="6"/>
      <c r="M793" s="6"/>
      <c r="N793" s="6"/>
      <c r="O793" s="6"/>
      <c r="P793" s="6"/>
      <c r="Q793" s="6"/>
      <c r="R793" s="6"/>
      <c r="S793" s="6"/>
      <c r="T793" s="6"/>
      <c r="U793" s="6"/>
      <c r="V793" s="6"/>
      <c r="W793" s="6"/>
      <c r="X793" s="6"/>
      <c r="Y793" s="6"/>
      <c r="Z793" s="6"/>
    </row>
    <row r="794">
      <c r="A794" s="9"/>
      <c r="B794" s="9"/>
      <c r="C794" s="9"/>
      <c r="D794" s="6"/>
      <c r="E794" s="9"/>
      <c r="F794" s="6"/>
      <c r="G794" s="6"/>
      <c r="H794" s="6"/>
      <c r="I794" s="6"/>
      <c r="J794" s="6"/>
      <c r="K794" s="6"/>
      <c r="L794" s="6"/>
      <c r="M794" s="6"/>
      <c r="N794" s="6"/>
      <c r="O794" s="6"/>
      <c r="P794" s="6"/>
      <c r="Q794" s="6"/>
      <c r="R794" s="6"/>
      <c r="S794" s="6"/>
      <c r="T794" s="6"/>
      <c r="U794" s="6"/>
      <c r="V794" s="6"/>
      <c r="W794" s="6"/>
      <c r="X794" s="6"/>
      <c r="Y794" s="6"/>
      <c r="Z794" s="6"/>
    </row>
    <row r="795">
      <c r="A795" s="9"/>
      <c r="B795" s="9"/>
      <c r="C795" s="9"/>
      <c r="D795" s="6"/>
      <c r="E795" s="9"/>
      <c r="F795" s="6"/>
      <c r="G795" s="6"/>
      <c r="H795" s="6"/>
      <c r="I795" s="6"/>
      <c r="J795" s="6"/>
      <c r="K795" s="6"/>
      <c r="L795" s="6"/>
      <c r="M795" s="6"/>
      <c r="N795" s="6"/>
      <c r="O795" s="6"/>
      <c r="P795" s="6"/>
      <c r="Q795" s="6"/>
      <c r="R795" s="6"/>
      <c r="S795" s="6"/>
      <c r="T795" s="6"/>
      <c r="U795" s="6"/>
      <c r="V795" s="6"/>
      <c r="W795" s="6"/>
      <c r="X795" s="6"/>
      <c r="Y795" s="6"/>
      <c r="Z795" s="6"/>
    </row>
    <row r="796">
      <c r="A796" s="9"/>
      <c r="B796" s="9"/>
      <c r="C796" s="9"/>
      <c r="D796" s="6"/>
      <c r="E796" s="9"/>
      <c r="F796" s="6"/>
      <c r="G796" s="6"/>
      <c r="H796" s="6"/>
      <c r="I796" s="6"/>
      <c r="J796" s="6"/>
      <c r="K796" s="6"/>
      <c r="L796" s="6"/>
      <c r="M796" s="6"/>
      <c r="N796" s="6"/>
      <c r="O796" s="6"/>
      <c r="P796" s="6"/>
      <c r="Q796" s="6"/>
      <c r="R796" s="6"/>
      <c r="S796" s="6"/>
      <c r="T796" s="6"/>
      <c r="U796" s="6"/>
      <c r="V796" s="6"/>
      <c r="W796" s="6"/>
      <c r="X796" s="6"/>
      <c r="Y796" s="6"/>
      <c r="Z796" s="6"/>
    </row>
    <row r="797">
      <c r="A797" s="9"/>
      <c r="B797" s="9"/>
      <c r="C797" s="9"/>
      <c r="D797" s="6"/>
      <c r="E797" s="9"/>
      <c r="F797" s="6"/>
      <c r="G797" s="6"/>
      <c r="H797" s="6"/>
      <c r="I797" s="6"/>
      <c r="J797" s="6"/>
      <c r="K797" s="6"/>
      <c r="L797" s="6"/>
      <c r="M797" s="6"/>
      <c r="N797" s="6"/>
      <c r="O797" s="6"/>
      <c r="P797" s="6"/>
      <c r="Q797" s="6"/>
      <c r="R797" s="6"/>
      <c r="S797" s="6"/>
      <c r="T797" s="6"/>
      <c r="U797" s="6"/>
      <c r="V797" s="6"/>
      <c r="W797" s="6"/>
      <c r="X797" s="6"/>
      <c r="Y797" s="6"/>
      <c r="Z797" s="6"/>
    </row>
    <row r="798">
      <c r="A798" s="9"/>
      <c r="B798" s="9"/>
      <c r="C798" s="9"/>
      <c r="D798" s="6"/>
      <c r="E798" s="9"/>
      <c r="F798" s="6"/>
      <c r="G798" s="6"/>
      <c r="H798" s="6"/>
      <c r="I798" s="6"/>
      <c r="J798" s="6"/>
      <c r="K798" s="6"/>
      <c r="L798" s="6"/>
      <c r="M798" s="6"/>
      <c r="N798" s="6"/>
      <c r="O798" s="6"/>
      <c r="P798" s="6"/>
      <c r="Q798" s="6"/>
      <c r="R798" s="6"/>
      <c r="S798" s="6"/>
      <c r="T798" s="6"/>
      <c r="U798" s="6"/>
      <c r="V798" s="6"/>
      <c r="W798" s="6"/>
      <c r="X798" s="6"/>
      <c r="Y798" s="6"/>
      <c r="Z798" s="6"/>
    </row>
    <row r="799">
      <c r="A799" s="9"/>
      <c r="B799" s="9"/>
      <c r="C799" s="9"/>
      <c r="D799" s="6"/>
      <c r="E799" s="9"/>
      <c r="F799" s="6"/>
      <c r="G799" s="6"/>
      <c r="H799" s="6"/>
      <c r="I799" s="6"/>
      <c r="J799" s="6"/>
      <c r="K799" s="6"/>
      <c r="L799" s="6"/>
      <c r="M799" s="6"/>
      <c r="N799" s="6"/>
      <c r="O799" s="6"/>
      <c r="P799" s="6"/>
      <c r="Q799" s="6"/>
      <c r="R799" s="6"/>
      <c r="S799" s="6"/>
      <c r="T799" s="6"/>
      <c r="U799" s="6"/>
      <c r="V799" s="6"/>
      <c r="W799" s="6"/>
      <c r="X799" s="6"/>
      <c r="Y799" s="6"/>
      <c r="Z799" s="6"/>
    </row>
    <row r="800">
      <c r="A800" s="9"/>
      <c r="B800" s="9"/>
      <c r="C800" s="9"/>
      <c r="D800" s="6"/>
      <c r="E800" s="9"/>
      <c r="F800" s="6"/>
      <c r="G800" s="6"/>
      <c r="H800" s="6"/>
      <c r="I800" s="6"/>
      <c r="J800" s="6"/>
      <c r="K800" s="6"/>
      <c r="L800" s="6"/>
      <c r="M800" s="6"/>
      <c r="N800" s="6"/>
      <c r="O800" s="6"/>
      <c r="P800" s="6"/>
      <c r="Q800" s="6"/>
      <c r="R800" s="6"/>
      <c r="S800" s="6"/>
      <c r="T800" s="6"/>
      <c r="U800" s="6"/>
      <c r="V800" s="6"/>
      <c r="W800" s="6"/>
      <c r="X800" s="6"/>
      <c r="Y800" s="6"/>
      <c r="Z800" s="6"/>
    </row>
    <row r="801">
      <c r="A801" s="9"/>
      <c r="B801" s="9"/>
      <c r="C801" s="9"/>
      <c r="D801" s="6"/>
      <c r="E801" s="9"/>
      <c r="F801" s="6"/>
      <c r="G801" s="6"/>
      <c r="H801" s="6"/>
      <c r="I801" s="6"/>
      <c r="J801" s="6"/>
      <c r="K801" s="6"/>
      <c r="L801" s="6"/>
      <c r="M801" s="6"/>
      <c r="N801" s="6"/>
      <c r="O801" s="6"/>
      <c r="P801" s="6"/>
      <c r="Q801" s="6"/>
      <c r="R801" s="6"/>
      <c r="S801" s="6"/>
      <c r="T801" s="6"/>
      <c r="U801" s="6"/>
      <c r="V801" s="6"/>
      <c r="W801" s="6"/>
      <c r="X801" s="6"/>
      <c r="Y801" s="6"/>
      <c r="Z801" s="6"/>
    </row>
    <row r="802">
      <c r="A802" s="9"/>
      <c r="B802" s="9"/>
      <c r="C802" s="9"/>
      <c r="D802" s="6"/>
      <c r="E802" s="9"/>
      <c r="F802" s="6"/>
      <c r="G802" s="6"/>
      <c r="H802" s="6"/>
      <c r="I802" s="6"/>
      <c r="J802" s="6"/>
      <c r="K802" s="6"/>
      <c r="L802" s="6"/>
      <c r="M802" s="6"/>
      <c r="N802" s="6"/>
      <c r="O802" s="6"/>
      <c r="P802" s="6"/>
      <c r="Q802" s="6"/>
      <c r="R802" s="6"/>
      <c r="S802" s="6"/>
      <c r="T802" s="6"/>
      <c r="U802" s="6"/>
      <c r="V802" s="6"/>
      <c r="W802" s="6"/>
      <c r="X802" s="6"/>
      <c r="Y802" s="6"/>
      <c r="Z802" s="6"/>
    </row>
    <row r="803">
      <c r="A803" s="9"/>
      <c r="B803" s="9"/>
      <c r="C803" s="9"/>
      <c r="D803" s="6"/>
      <c r="E803" s="9"/>
      <c r="F803" s="6"/>
      <c r="G803" s="6"/>
      <c r="H803" s="6"/>
      <c r="I803" s="6"/>
      <c r="J803" s="6"/>
      <c r="K803" s="6"/>
      <c r="L803" s="6"/>
      <c r="M803" s="6"/>
      <c r="N803" s="6"/>
      <c r="O803" s="6"/>
      <c r="P803" s="6"/>
      <c r="Q803" s="6"/>
      <c r="R803" s="6"/>
      <c r="S803" s="6"/>
      <c r="T803" s="6"/>
      <c r="U803" s="6"/>
      <c r="V803" s="6"/>
      <c r="W803" s="6"/>
      <c r="X803" s="6"/>
      <c r="Y803" s="6"/>
      <c r="Z803" s="6"/>
    </row>
    <row r="804">
      <c r="A804" s="9"/>
      <c r="B804" s="9"/>
      <c r="C804" s="9"/>
      <c r="D804" s="6"/>
      <c r="E804" s="9"/>
      <c r="F804" s="6"/>
      <c r="G804" s="6"/>
      <c r="H804" s="6"/>
      <c r="I804" s="6"/>
      <c r="J804" s="6"/>
      <c r="K804" s="6"/>
      <c r="L804" s="6"/>
      <c r="M804" s="6"/>
      <c r="N804" s="6"/>
      <c r="O804" s="6"/>
      <c r="P804" s="6"/>
      <c r="Q804" s="6"/>
      <c r="R804" s="6"/>
      <c r="S804" s="6"/>
      <c r="T804" s="6"/>
      <c r="U804" s="6"/>
      <c r="V804" s="6"/>
      <c r="W804" s="6"/>
      <c r="X804" s="6"/>
      <c r="Y804" s="6"/>
      <c r="Z804" s="6"/>
    </row>
    <row r="805">
      <c r="A805" s="9"/>
      <c r="B805" s="9"/>
      <c r="C805" s="9"/>
      <c r="D805" s="6"/>
      <c r="E805" s="9"/>
      <c r="F805" s="6"/>
      <c r="G805" s="6"/>
      <c r="H805" s="6"/>
      <c r="I805" s="6"/>
      <c r="J805" s="6"/>
      <c r="K805" s="6"/>
      <c r="L805" s="6"/>
      <c r="M805" s="6"/>
      <c r="N805" s="6"/>
      <c r="O805" s="6"/>
      <c r="P805" s="6"/>
      <c r="Q805" s="6"/>
      <c r="R805" s="6"/>
      <c r="S805" s="6"/>
      <c r="T805" s="6"/>
      <c r="U805" s="6"/>
      <c r="V805" s="6"/>
      <c r="W805" s="6"/>
      <c r="X805" s="6"/>
      <c r="Y805" s="6"/>
      <c r="Z805" s="6"/>
    </row>
    <row r="806">
      <c r="A806" s="9"/>
      <c r="B806" s="9"/>
      <c r="C806" s="9"/>
      <c r="D806" s="6"/>
      <c r="E806" s="9"/>
      <c r="F806" s="6"/>
      <c r="G806" s="6"/>
      <c r="H806" s="6"/>
      <c r="I806" s="6"/>
      <c r="J806" s="6"/>
      <c r="K806" s="6"/>
      <c r="L806" s="6"/>
      <c r="M806" s="6"/>
      <c r="N806" s="6"/>
      <c r="O806" s="6"/>
      <c r="P806" s="6"/>
      <c r="Q806" s="6"/>
      <c r="R806" s="6"/>
      <c r="S806" s="6"/>
      <c r="T806" s="6"/>
      <c r="U806" s="6"/>
      <c r="V806" s="6"/>
      <c r="W806" s="6"/>
      <c r="X806" s="6"/>
      <c r="Y806" s="6"/>
      <c r="Z806" s="6"/>
    </row>
    <row r="807">
      <c r="A807" s="9"/>
      <c r="B807" s="9"/>
      <c r="C807" s="9"/>
      <c r="D807" s="6"/>
      <c r="E807" s="9"/>
      <c r="F807" s="6"/>
      <c r="G807" s="6"/>
      <c r="H807" s="6"/>
      <c r="I807" s="6"/>
      <c r="J807" s="6"/>
      <c r="K807" s="6"/>
      <c r="L807" s="6"/>
      <c r="M807" s="6"/>
      <c r="N807" s="6"/>
      <c r="O807" s="6"/>
      <c r="P807" s="6"/>
      <c r="Q807" s="6"/>
      <c r="R807" s="6"/>
      <c r="S807" s="6"/>
      <c r="T807" s="6"/>
      <c r="U807" s="6"/>
      <c r="V807" s="6"/>
      <c r="W807" s="6"/>
      <c r="X807" s="6"/>
      <c r="Y807" s="6"/>
      <c r="Z807" s="6"/>
    </row>
    <row r="808">
      <c r="A808" s="9"/>
      <c r="B808" s="9"/>
      <c r="C808" s="9"/>
      <c r="D808" s="6"/>
      <c r="E808" s="9"/>
      <c r="F808" s="6"/>
      <c r="G808" s="6"/>
      <c r="H808" s="6"/>
      <c r="I808" s="6"/>
      <c r="J808" s="6"/>
      <c r="K808" s="6"/>
      <c r="L808" s="6"/>
      <c r="M808" s="6"/>
      <c r="N808" s="6"/>
      <c r="O808" s="6"/>
      <c r="P808" s="6"/>
      <c r="Q808" s="6"/>
      <c r="R808" s="6"/>
      <c r="S808" s="6"/>
      <c r="T808" s="6"/>
      <c r="U808" s="6"/>
      <c r="V808" s="6"/>
      <c r="W808" s="6"/>
      <c r="X808" s="6"/>
      <c r="Y808" s="6"/>
      <c r="Z808" s="6"/>
    </row>
    <row r="809">
      <c r="A809" s="9"/>
      <c r="B809" s="9"/>
      <c r="C809" s="9"/>
      <c r="D809" s="6"/>
      <c r="E809" s="9"/>
      <c r="F809" s="6"/>
      <c r="G809" s="6"/>
      <c r="H809" s="6"/>
      <c r="I809" s="6"/>
      <c r="J809" s="6"/>
      <c r="K809" s="6"/>
      <c r="L809" s="6"/>
      <c r="M809" s="6"/>
      <c r="N809" s="6"/>
      <c r="O809" s="6"/>
      <c r="P809" s="6"/>
      <c r="Q809" s="6"/>
      <c r="R809" s="6"/>
      <c r="S809" s="6"/>
      <c r="T809" s="6"/>
      <c r="U809" s="6"/>
      <c r="V809" s="6"/>
      <c r="W809" s="6"/>
      <c r="X809" s="6"/>
      <c r="Y809" s="6"/>
      <c r="Z809" s="6"/>
    </row>
    <row r="810">
      <c r="A810" s="9"/>
      <c r="B810" s="9"/>
      <c r="C810" s="9"/>
      <c r="D810" s="6"/>
      <c r="E810" s="9"/>
      <c r="F810" s="6"/>
      <c r="G810" s="6"/>
      <c r="H810" s="6"/>
      <c r="I810" s="6"/>
      <c r="J810" s="6"/>
      <c r="K810" s="6"/>
      <c r="L810" s="6"/>
      <c r="M810" s="6"/>
      <c r="N810" s="6"/>
      <c r="O810" s="6"/>
      <c r="P810" s="6"/>
      <c r="Q810" s="6"/>
      <c r="R810" s="6"/>
      <c r="S810" s="6"/>
      <c r="T810" s="6"/>
      <c r="U810" s="6"/>
      <c r="V810" s="6"/>
      <c r="W810" s="6"/>
      <c r="X810" s="6"/>
      <c r="Y810" s="6"/>
      <c r="Z810" s="6"/>
    </row>
    <row r="811">
      <c r="A811" s="9"/>
      <c r="B811" s="9"/>
      <c r="C811" s="9"/>
      <c r="D811" s="6"/>
      <c r="E811" s="9"/>
      <c r="F811" s="6"/>
      <c r="G811" s="6"/>
      <c r="H811" s="6"/>
      <c r="I811" s="6"/>
      <c r="J811" s="6"/>
      <c r="K811" s="6"/>
      <c r="L811" s="6"/>
      <c r="M811" s="6"/>
      <c r="N811" s="6"/>
      <c r="O811" s="6"/>
      <c r="P811" s="6"/>
      <c r="Q811" s="6"/>
      <c r="R811" s="6"/>
      <c r="S811" s="6"/>
      <c r="T811" s="6"/>
      <c r="U811" s="6"/>
      <c r="V811" s="6"/>
      <c r="W811" s="6"/>
      <c r="X811" s="6"/>
      <c r="Y811" s="6"/>
      <c r="Z811" s="6"/>
    </row>
    <row r="812">
      <c r="A812" s="9"/>
      <c r="B812" s="9"/>
      <c r="C812" s="9"/>
      <c r="D812" s="6"/>
      <c r="E812" s="9"/>
      <c r="F812" s="6"/>
      <c r="G812" s="6"/>
      <c r="H812" s="6"/>
      <c r="I812" s="6"/>
      <c r="J812" s="6"/>
      <c r="K812" s="6"/>
      <c r="L812" s="6"/>
      <c r="M812" s="6"/>
      <c r="N812" s="6"/>
      <c r="O812" s="6"/>
      <c r="P812" s="6"/>
      <c r="Q812" s="6"/>
      <c r="R812" s="6"/>
      <c r="S812" s="6"/>
      <c r="T812" s="6"/>
      <c r="U812" s="6"/>
      <c r="V812" s="6"/>
      <c r="W812" s="6"/>
      <c r="X812" s="6"/>
      <c r="Y812" s="6"/>
      <c r="Z812" s="6"/>
    </row>
    <row r="813">
      <c r="A813" s="9"/>
      <c r="B813" s="9"/>
      <c r="C813" s="9"/>
      <c r="D813" s="6"/>
      <c r="E813" s="9"/>
      <c r="F813" s="6"/>
      <c r="G813" s="6"/>
      <c r="H813" s="6"/>
      <c r="I813" s="6"/>
      <c r="J813" s="6"/>
      <c r="K813" s="6"/>
      <c r="L813" s="6"/>
      <c r="M813" s="6"/>
      <c r="N813" s="6"/>
      <c r="O813" s="6"/>
      <c r="P813" s="6"/>
      <c r="Q813" s="6"/>
      <c r="R813" s="6"/>
      <c r="S813" s="6"/>
      <c r="T813" s="6"/>
      <c r="U813" s="6"/>
      <c r="V813" s="6"/>
      <c r="W813" s="6"/>
      <c r="X813" s="6"/>
      <c r="Y813" s="6"/>
      <c r="Z813" s="6"/>
    </row>
    <row r="814">
      <c r="A814" s="9"/>
      <c r="B814" s="9"/>
      <c r="C814" s="9"/>
      <c r="D814" s="6"/>
      <c r="E814" s="9"/>
      <c r="F814" s="6"/>
      <c r="G814" s="6"/>
      <c r="H814" s="6"/>
      <c r="I814" s="6"/>
      <c r="J814" s="6"/>
      <c r="K814" s="6"/>
      <c r="L814" s="6"/>
      <c r="M814" s="6"/>
      <c r="N814" s="6"/>
      <c r="O814" s="6"/>
      <c r="P814" s="6"/>
      <c r="Q814" s="6"/>
      <c r="R814" s="6"/>
      <c r="S814" s="6"/>
      <c r="T814" s="6"/>
      <c r="U814" s="6"/>
      <c r="V814" s="6"/>
      <c r="W814" s="6"/>
      <c r="X814" s="6"/>
      <c r="Y814" s="6"/>
      <c r="Z814" s="6"/>
    </row>
    <row r="815">
      <c r="A815" s="9"/>
      <c r="B815" s="9"/>
      <c r="C815" s="9"/>
      <c r="D815" s="6"/>
      <c r="E815" s="9"/>
      <c r="F815" s="6"/>
      <c r="G815" s="6"/>
      <c r="H815" s="6"/>
      <c r="I815" s="6"/>
      <c r="J815" s="6"/>
      <c r="K815" s="6"/>
      <c r="L815" s="6"/>
      <c r="M815" s="6"/>
      <c r="N815" s="6"/>
      <c r="O815" s="6"/>
      <c r="P815" s="6"/>
      <c r="Q815" s="6"/>
      <c r="R815" s="6"/>
      <c r="S815" s="6"/>
      <c r="T815" s="6"/>
      <c r="U815" s="6"/>
      <c r="V815" s="6"/>
      <c r="W815" s="6"/>
      <c r="X815" s="6"/>
      <c r="Y815" s="6"/>
      <c r="Z815" s="6"/>
    </row>
    <row r="816">
      <c r="A816" s="9"/>
      <c r="B816" s="9"/>
      <c r="C816" s="9"/>
      <c r="D816" s="6"/>
      <c r="E816" s="9"/>
      <c r="F816" s="6"/>
      <c r="G816" s="6"/>
      <c r="H816" s="6"/>
      <c r="I816" s="6"/>
      <c r="J816" s="6"/>
      <c r="K816" s="6"/>
      <c r="L816" s="6"/>
      <c r="M816" s="6"/>
      <c r="N816" s="6"/>
      <c r="O816" s="6"/>
      <c r="P816" s="6"/>
      <c r="Q816" s="6"/>
      <c r="R816" s="6"/>
      <c r="S816" s="6"/>
      <c r="T816" s="6"/>
      <c r="U816" s="6"/>
      <c r="V816" s="6"/>
      <c r="W816" s="6"/>
      <c r="X816" s="6"/>
      <c r="Y816" s="6"/>
      <c r="Z816" s="6"/>
    </row>
    <row r="817">
      <c r="A817" s="9"/>
      <c r="B817" s="9"/>
      <c r="C817" s="9"/>
      <c r="D817" s="6"/>
      <c r="E817" s="9"/>
      <c r="F817" s="6"/>
      <c r="G817" s="6"/>
      <c r="H817" s="6"/>
      <c r="I817" s="6"/>
      <c r="J817" s="6"/>
      <c r="K817" s="6"/>
      <c r="L817" s="6"/>
      <c r="M817" s="6"/>
      <c r="N817" s="6"/>
      <c r="O817" s="6"/>
      <c r="P817" s="6"/>
      <c r="Q817" s="6"/>
      <c r="R817" s="6"/>
      <c r="S817" s="6"/>
      <c r="T817" s="6"/>
      <c r="U817" s="6"/>
      <c r="V817" s="6"/>
      <c r="W817" s="6"/>
      <c r="X817" s="6"/>
      <c r="Y817" s="6"/>
      <c r="Z817" s="6"/>
    </row>
    <row r="818">
      <c r="A818" s="9"/>
      <c r="B818" s="9"/>
      <c r="C818" s="9"/>
      <c r="D818" s="6"/>
      <c r="E818" s="9"/>
      <c r="F818" s="6"/>
      <c r="G818" s="6"/>
      <c r="H818" s="6"/>
      <c r="I818" s="6"/>
      <c r="J818" s="6"/>
      <c r="K818" s="6"/>
      <c r="L818" s="6"/>
      <c r="M818" s="6"/>
      <c r="N818" s="6"/>
      <c r="O818" s="6"/>
      <c r="P818" s="6"/>
      <c r="Q818" s="6"/>
      <c r="R818" s="6"/>
      <c r="S818" s="6"/>
      <c r="T818" s="6"/>
      <c r="U818" s="6"/>
      <c r="V818" s="6"/>
      <c r="W818" s="6"/>
      <c r="X818" s="6"/>
      <c r="Y818" s="6"/>
      <c r="Z818" s="6"/>
    </row>
    <row r="819">
      <c r="A819" s="9"/>
      <c r="B819" s="9"/>
      <c r="C819" s="9"/>
      <c r="D819" s="6"/>
      <c r="E819" s="9"/>
      <c r="F819" s="6"/>
      <c r="G819" s="6"/>
      <c r="H819" s="6"/>
      <c r="I819" s="6"/>
      <c r="J819" s="6"/>
      <c r="K819" s="6"/>
      <c r="L819" s="6"/>
      <c r="M819" s="6"/>
      <c r="N819" s="6"/>
      <c r="O819" s="6"/>
      <c r="P819" s="6"/>
      <c r="Q819" s="6"/>
      <c r="R819" s="6"/>
      <c r="S819" s="6"/>
      <c r="T819" s="6"/>
      <c r="U819" s="6"/>
      <c r="V819" s="6"/>
      <c r="W819" s="6"/>
      <c r="X819" s="6"/>
      <c r="Y819" s="6"/>
      <c r="Z819" s="6"/>
    </row>
    <row r="820">
      <c r="A820" s="9"/>
      <c r="B820" s="9"/>
      <c r="C820" s="9"/>
      <c r="D820" s="6"/>
      <c r="E820" s="9"/>
      <c r="F820" s="6"/>
      <c r="G820" s="6"/>
      <c r="H820" s="6"/>
      <c r="I820" s="6"/>
      <c r="J820" s="6"/>
      <c r="K820" s="6"/>
      <c r="L820" s="6"/>
      <c r="M820" s="6"/>
      <c r="N820" s="6"/>
      <c r="O820" s="6"/>
      <c r="P820" s="6"/>
      <c r="Q820" s="6"/>
      <c r="R820" s="6"/>
      <c r="S820" s="6"/>
      <c r="T820" s="6"/>
      <c r="U820" s="6"/>
      <c r="V820" s="6"/>
      <c r="W820" s="6"/>
      <c r="X820" s="6"/>
      <c r="Y820" s="6"/>
      <c r="Z820" s="6"/>
    </row>
    <row r="821">
      <c r="A821" s="9"/>
      <c r="B821" s="9"/>
      <c r="C821" s="9"/>
      <c r="D821" s="6"/>
      <c r="E821" s="9"/>
      <c r="F821" s="6"/>
      <c r="G821" s="6"/>
      <c r="H821" s="6"/>
      <c r="I821" s="6"/>
      <c r="J821" s="6"/>
      <c r="K821" s="6"/>
      <c r="L821" s="6"/>
      <c r="M821" s="6"/>
      <c r="N821" s="6"/>
      <c r="O821" s="6"/>
      <c r="P821" s="6"/>
      <c r="Q821" s="6"/>
      <c r="R821" s="6"/>
      <c r="S821" s="6"/>
      <c r="T821" s="6"/>
      <c r="U821" s="6"/>
      <c r="V821" s="6"/>
      <c r="W821" s="6"/>
      <c r="X821" s="6"/>
      <c r="Y821" s="6"/>
      <c r="Z821" s="6"/>
    </row>
    <row r="822">
      <c r="A822" s="9"/>
      <c r="B822" s="9"/>
      <c r="C822" s="9"/>
      <c r="D822" s="6"/>
      <c r="E822" s="9"/>
      <c r="F822" s="6"/>
      <c r="G822" s="6"/>
      <c r="H822" s="6"/>
      <c r="I822" s="6"/>
      <c r="J822" s="6"/>
      <c r="K822" s="6"/>
      <c r="L822" s="6"/>
      <c r="M822" s="6"/>
      <c r="N822" s="6"/>
      <c r="O822" s="6"/>
      <c r="P822" s="6"/>
      <c r="Q822" s="6"/>
      <c r="R822" s="6"/>
      <c r="S822" s="6"/>
      <c r="T822" s="6"/>
      <c r="U822" s="6"/>
      <c r="V822" s="6"/>
      <c r="W822" s="6"/>
      <c r="X822" s="6"/>
      <c r="Y822" s="6"/>
      <c r="Z822" s="6"/>
    </row>
    <row r="823">
      <c r="A823" s="9"/>
      <c r="B823" s="9"/>
      <c r="C823" s="9"/>
      <c r="D823" s="6"/>
      <c r="E823" s="9"/>
      <c r="F823" s="6"/>
      <c r="G823" s="6"/>
      <c r="H823" s="6"/>
      <c r="I823" s="6"/>
      <c r="J823" s="6"/>
      <c r="K823" s="6"/>
      <c r="L823" s="6"/>
      <c r="M823" s="6"/>
      <c r="N823" s="6"/>
      <c r="O823" s="6"/>
      <c r="P823" s="6"/>
      <c r="Q823" s="6"/>
      <c r="R823" s="6"/>
      <c r="S823" s="6"/>
      <c r="T823" s="6"/>
      <c r="U823" s="6"/>
      <c r="V823" s="6"/>
      <c r="W823" s="6"/>
      <c r="X823" s="6"/>
      <c r="Y823" s="6"/>
      <c r="Z823" s="6"/>
    </row>
    <row r="824">
      <c r="A824" s="9"/>
      <c r="B824" s="9"/>
      <c r="C824" s="9"/>
      <c r="D824" s="6"/>
      <c r="E824" s="9"/>
      <c r="F824" s="6"/>
      <c r="G824" s="6"/>
      <c r="H824" s="6"/>
      <c r="I824" s="6"/>
      <c r="J824" s="6"/>
      <c r="K824" s="6"/>
      <c r="L824" s="6"/>
      <c r="M824" s="6"/>
      <c r="N824" s="6"/>
      <c r="O824" s="6"/>
      <c r="P824" s="6"/>
      <c r="Q824" s="6"/>
      <c r="R824" s="6"/>
      <c r="S824" s="6"/>
      <c r="T824" s="6"/>
      <c r="U824" s="6"/>
      <c r="V824" s="6"/>
      <c r="W824" s="6"/>
      <c r="X824" s="6"/>
      <c r="Y824" s="6"/>
      <c r="Z824" s="6"/>
    </row>
    <row r="825">
      <c r="A825" s="9"/>
      <c r="B825" s="9"/>
      <c r="C825" s="9"/>
      <c r="D825" s="6"/>
      <c r="E825" s="9"/>
      <c r="F825" s="6"/>
      <c r="G825" s="6"/>
      <c r="H825" s="6"/>
      <c r="I825" s="6"/>
      <c r="J825" s="6"/>
      <c r="K825" s="6"/>
      <c r="L825" s="6"/>
      <c r="M825" s="6"/>
      <c r="N825" s="6"/>
      <c r="O825" s="6"/>
      <c r="P825" s="6"/>
      <c r="Q825" s="6"/>
      <c r="R825" s="6"/>
      <c r="S825" s="6"/>
      <c r="T825" s="6"/>
      <c r="U825" s="6"/>
      <c r="V825" s="6"/>
      <c r="W825" s="6"/>
      <c r="X825" s="6"/>
      <c r="Y825" s="6"/>
      <c r="Z825" s="6"/>
    </row>
    <row r="826">
      <c r="A826" s="9"/>
      <c r="B826" s="9"/>
      <c r="C826" s="9"/>
      <c r="D826" s="6"/>
      <c r="E826" s="9"/>
      <c r="F826" s="6"/>
      <c r="G826" s="6"/>
      <c r="H826" s="6"/>
      <c r="I826" s="6"/>
      <c r="J826" s="6"/>
      <c r="K826" s="6"/>
      <c r="L826" s="6"/>
      <c r="M826" s="6"/>
      <c r="N826" s="6"/>
      <c r="O826" s="6"/>
      <c r="P826" s="6"/>
      <c r="Q826" s="6"/>
      <c r="R826" s="6"/>
      <c r="S826" s="6"/>
      <c r="T826" s="6"/>
      <c r="U826" s="6"/>
      <c r="V826" s="6"/>
      <c r="W826" s="6"/>
      <c r="X826" s="6"/>
      <c r="Y826" s="6"/>
      <c r="Z826" s="6"/>
    </row>
    <row r="827">
      <c r="A827" s="9"/>
      <c r="B827" s="9"/>
      <c r="C827" s="9"/>
      <c r="D827" s="6"/>
      <c r="E827" s="9"/>
      <c r="F827" s="6"/>
      <c r="G827" s="6"/>
      <c r="H827" s="6"/>
      <c r="I827" s="6"/>
      <c r="J827" s="6"/>
      <c r="K827" s="6"/>
      <c r="L827" s="6"/>
      <c r="M827" s="6"/>
      <c r="N827" s="6"/>
      <c r="O827" s="6"/>
      <c r="P827" s="6"/>
      <c r="Q827" s="6"/>
      <c r="R827" s="6"/>
      <c r="S827" s="6"/>
      <c r="T827" s="6"/>
      <c r="U827" s="6"/>
      <c r="V827" s="6"/>
      <c r="W827" s="6"/>
      <c r="X827" s="6"/>
      <c r="Y827" s="6"/>
      <c r="Z827" s="6"/>
    </row>
    <row r="828">
      <c r="A828" s="9"/>
      <c r="B828" s="9"/>
      <c r="C828" s="9"/>
      <c r="D828" s="6"/>
      <c r="E828" s="9"/>
      <c r="F828" s="6"/>
      <c r="G828" s="6"/>
      <c r="H828" s="6"/>
      <c r="I828" s="6"/>
      <c r="J828" s="6"/>
      <c r="K828" s="6"/>
      <c r="L828" s="6"/>
      <c r="M828" s="6"/>
      <c r="N828" s="6"/>
      <c r="O828" s="6"/>
      <c r="P828" s="6"/>
      <c r="Q828" s="6"/>
      <c r="R828" s="6"/>
      <c r="S828" s="6"/>
      <c r="T828" s="6"/>
      <c r="U828" s="6"/>
      <c r="V828" s="6"/>
      <c r="W828" s="6"/>
      <c r="X828" s="6"/>
      <c r="Y828" s="6"/>
      <c r="Z828" s="6"/>
    </row>
    <row r="829">
      <c r="A829" s="9"/>
      <c r="B829" s="9"/>
      <c r="C829" s="9"/>
      <c r="D829" s="6"/>
      <c r="E829" s="9"/>
      <c r="F829" s="6"/>
      <c r="G829" s="6"/>
      <c r="H829" s="6"/>
      <c r="I829" s="6"/>
      <c r="J829" s="6"/>
      <c r="K829" s="6"/>
      <c r="L829" s="6"/>
      <c r="M829" s="6"/>
      <c r="N829" s="6"/>
      <c r="O829" s="6"/>
      <c r="P829" s="6"/>
      <c r="Q829" s="6"/>
      <c r="R829" s="6"/>
      <c r="S829" s="6"/>
      <c r="T829" s="6"/>
      <c r="U829" s="6"/>
      <c r="V829" s="6"/>
      <c r="W829" s="6"/>
      <c r="X829" s="6"/>
      <c r="Y829" s="6"/>
      <c r="Z829" s="6"/>
    </row>
    <row r="830">
      <c r="A830" s="9"/>
      <c r="B830" s="9"/>
      <c r="C830" s="9"/>
      <c r="D830" s="6"/>
      <c r="E830" s="9"/>
      <c r="F830" s="6"/>
      <c r="G830" s="6"/>
      <c r="H830" s="6"/>
      <c r="I830" s="6"/>
      <c r="J830" s="6"/>
      <c r="K830" s="6"/>
      <c r="L830" s="6"/>
      <c r="M830" s="6"/>
      <c r="N830" s="6"/>
      <c r="O830" s="6"/>
      <c r="P830" s="6"/>
      <c r="Q830" s="6"/>
      <c r="R830" s="6"/>
      <c r="S830" s="6"/>
      <c r="T830" s="6"/>
      <c r="U830" s="6"/>
      <c r="V830" s="6"/>
      <c r="W830" s="6"/>
      <c r="X830" s="6"/>
      <c r="Y830" s="6"/>
      <c r="Z830" s="6"/>
    </row>
    <row r="831">
      <c r="A831" s="9"/>
      <c r="B831" s="9"/>
      <c r="C831" s="9"/>
      <c r="D831" s="6"/>
      <c r="E831" s="9"/>
      <c r="F831" s="6"/>
      <c r="G831" s="6"/>
      <c r="H831" s="6"/>
      <c r="I831" s="6"/>
      <c r="J831" s="6"/>
      <c r="K831" s="6"/>
      <c r="L831" s="6"/>
      <c r="M831" s="6"/>
      <c r="N831" s="6"/>
      <c r="O831" s="6"/>
      <c r="P831" s="6"/>
      <c r="Q831" s="6"/>
      <c r="R831" s="6"/>
      <c r="S831" s="6"/>
      <c r="T831" s="6"/>
      <c r="U831" s="6"/>
      <c r="V831" s="6"/>
      <c r="W831" s="6"/>
      <c r="X831" s="6"/>
      <c r="Y831" s="6"/>
      <c r="Z831" s="6"/>
    </row>
    <row r="832">
      <c r="A832" s="9"/>
      <c r="B832" s="9"/>
      <c r="C832" s="9"/>
      <c r="D832" s="6"/>
      <c r="E832" s="9"/>
      <c r="F832" s="6"/>
      <c r="G832" s="6"/>
      <c r="H832" s="6"/>
      <c r="I832" s="6"/>
      <c r="J832" s="6"/>
      <c r="K832" s="6"/>
      <c r="L832" s="6"/>
      <c r="M832" s="6"/>
      <c r="N832" s="6"/>
      <c r="O832" s="6"/>
      <c r="P832" s="6"/>
      <c r="Q832" s="6"/>
      <c r="R832" s="6"/>
      <c r="S832" s="6"/>
      <c r="T832" s="6"/>
      <c r="U832" s="6"/>
      <c r="V832" s="6"/>
      <c r="W832" s="6"/>
      <c r="X832" s="6"/>
      <c r="Y832" s="6"/>
      <c r="Z832" s="6"/>
    </row>
    <row r="833">
      <c r="A833" s="9"/>
      <c r="B833" s="9"/>
      <c r="C833" s="9"/>
      <c r="D833" s="6"/>
      <c r="E833" s="9"/>
      <c r="F833" s="6"/>
      <c r="G833" s="6"/>
      <c r="H833" s="6"/>
      <c r="I833" s="6"/>
      <c r="J833" s="6"/>
      <c r="K833" s="6"/>
      <c r="L833" s="6"/>
      <c r="M833" s="6"/>
      <c r="N833" s="6"/>
      <c r="O833" s="6"/>
      <c r="P833" s="6"/>
      <c r="Q833" s="6"/>
      <c r="R833" s="6"/>
      <c r="S833" s="6"/>
      <c r="T833" s="6"/>
      <c r="U833" s="6"/>
      <c r="V833" s="6"/>
      <c r="W833" s="6"/>
      <c r="X833" s="6"/>
      <c r="Y833" s="6"/>
      <c r="Z833" s="6"/>
    </row>
    <row r="834">
      <c r="A834" s="9"/>
      <c r="B834" s="9"/>
      <c r="C834" s="9"/>
      <c r="D834" s="6"/>
      <c r="E834" s="9"/>
      <c r="F834" s="6"/>
      <c r="G834" s="6"/>
      <c r="H834" s="6"/>
      <c r="I834" s="6"/>
      <c r="J834" s="6"/>
      <c r="K834" s="6"/>
      <c r="L834" s="6"/>
      <c r="M834" s="6"/>
      <c r="N834" s="6"/>
      <c r="O834" s="6"/>
      <c r="P834" s="6"/>
      <c r="Q834" s="6"/>
      <c r="R834" s="6"/>
      <c r="S834" s="6"/>
      <c r="T834" s="6"/>
      <c r="U834" s="6"/>
      <c r="V834" s="6"/>
      <c r="W834" s="6"/>
      <c r="X834" s="6"/>
      <c r="Y834" s="6"/>
      <c r="Z834" s="6"/>
    </row>
    <row r="835">
      <c r="A835" s="9"/>
      <c r="B835" s="9"/>
      <c r="C835" s="9"/>
      <c r="D835" s="6"/>
      <c r="E835" s="9"/>
      <c r="F835" s="6"/>
      <c r="G835" s="6"/>
      <c r="H835" s="6"/>
      <c r="I835" s="6"/>
      <c r="J835" s="6"/>
      <c r="K835" s="6"/>
      <c r="L835" s="6"/>
      <c r="M835" s="6"/>
      <c r="N835" s="6"/>
      <c r="O835" s="6"/>
      <c r="P835" s="6"/>
      <c r="Q835" s="6"/>
      <c r="R835" s="6"/>
      <c r="S835" s="6"/>
      <c r="T835" s="6"/>
      <c r="U835" s="6"/>
      <c r="V835" s="6"/>
      <c r="W835" s="6"/>
      <c r="X835" s="6"/>
      <c r="Y835" s="6"/>
      <c r="Z835" s="6"/>
    </row>
    <row r="836">
      <c r="A836" s="9"/>
      <c r="B836" s="9"/>
      <c r="C836" s="9"/>
      <c r="D836" s="6"/>
      <c r="E836" s="9"/>
      <c r="F836" s="6"/>
      <c r="G836" s="6"/>
      <c r="H836" s="6"/>
      <c r="I836" s="6"/>
      <c r="J836" s="6"/>
      <c r="K836" s="6"/>
      <c r="L836" s="6"/>
      <c r="M836" s="6"/>
      <c r="N836" s="6"/>
      <c r="O836" s="6"/>
      <c r="P836" s="6"/>
      <c r="Q836" s="6"/>
      <c r="R836" s="6"/>
      <c r="S836" s="6"/>
      <c r="T836" s="6"/>
      <c r="U836" s="6"/>
      <c r="V836" s="6"/>
      <c r="W836" s="6"/>
      <c r="X836" s="6"/>
      <c r="Y836" s="6"/>
      <c r="Z836" s="6"/>
    </row>
    <row r="837">
      <c r="A837" s="9"/>
      <c r="B837" s="9"/>
      <c r="C837" s="9"/>
      <c r="D837" s="6"/>
      <c r="E837" s="9"/>
      <c r="F837" s="6"/>
      <c r="G837" s="6"/>
      <c r="H837" s="6"/>
      <c r="I837" s="6"/>
      <c r="J837" s="6"/>
      <c r="K837" s="6"/>
      <c r="L837" s="6"/>
      <c r="M837" s="6"/>
      <c r="N837" s="6"/>
      <c r="O837" s="6"/>
      <c r="P837" s="6"/>
      <c r="Q837" s="6"/>
      <c r="R837" s="6"/>
      <c r="S837" s="6"/>
      <c r="T837" s="6"/>
      <c r="U837" s="6"/>
      <c r="V837" s="6"/>
      <c r="W837" s="6"/>
      <c r="X837" s="6"/>
      <c r="Y837" s="6"/>
      <c r="Z837" s="6"/>
    </row>
    <row r="838">
      <c r="A838" s="9"/>
      <c r="B838" s="9"/>
      <c r="C838" s="9"/>
      <c r="D838" s="6"/>
      <c r="E838" s="9"/>
      <c r="F838" s="6"/>
      <c r="G838" s="6"/>
      <c r="H838" s="6"/>
      <c r="I838" s="6"/>
      <c r="J838" s="6"/>
      <c r="K838" s="6"/>
      <c r="L838" s="6"/>
      <c r="M838" s="6"/>
      <c r="N838" s="6"/>
      <c r="O838" s="6"/>
      <c r="P838" s="6"/>
      <c r="Q838" s="6"/>
      <c r="R838" s="6"/>
      <c r="S838" s="6"/>
      <c r="T838" s="6"/>
      <c r="U838" s="6"/>
      <c r="V838" s="6"/>
      <c r="W838" s="6"/>
      <c r="X838" s="6"/>
      <c r="Y838" s="6"/>
      <c r="Z838" s="6"/>
    </row>
    <row r="839">
      <c r="A839" s="9"/>
      <c r="B839" s="9"/>
      <c r="C839" s="9"/>
      <c r="D839" s="6"/>
      <c r="E839" s="9"/>
      <c r="F839" s="6"/>
      <c r="G839" s="6"/>
      <c r="H839" s="6"/>
      <c r="I839" s="6"/>
      <c r="J839" s="6"/>
      <c r="K839" s="6"/>
      <c r="L839" s="6"/>
      <c r="M839" s="6"/>
      <c r="N839" s="6"/>
      <c r="O839" s="6"/>
      <c r="P839" s="6"/>
      <c r="Q839" s="6"/>
      <c r="R839" s="6"/>
      <c r="S839" s="6"/>
      <c r="T839" s="6"/>
      <c r="U839" s="6"/>
      <c r="V839" s="6"/>
      <c r="W839" s="6"/>
      <c r="X839" s="6"/>
      <c r="Y839" s="6"/>
      <c r="Z839" s="6"/>
    </row>
    <row r="840">
      <c r="A840" s="9"/>
      <c r="B840" s="9"/>
      <c r="C840" s="9"/>
      <c r="D840" s="6"/>
      <c r="E840" s="9"/>
      <c r="F840" s="6"/>
      <c r="G840" s="6"/>
      <c r="H840" s="6"/>
      <c r="I840" s="6"/>
      <c r="J840" s="6"/>
      <c r="K840" s="6"/>
      <c r="L840" s="6"/>
      <c r="M840" s="6"/>
      <c r="N840" s="6"/>
      <c r="O840" s="6"/>
      <c r="P840" s="6"/>
      <c r="Q840" s="6"/>
      <c r="R840" s="6"/>
      <c r="S840" s="6"/>
      <c r="T840" s="6"/>
      <c r="U840" s="6"/>
      <c r="V840" s="6"/>
      <c r="W840" s="6"/>
      <c r="X840" s="6"/>
      <c r="Y840" s="6"/>
      <c r="Z840" s="6"/>
    </row>
    <row r="841">
      <c r="A841" s="9"/>
      <c r="B841" s="9"/>
      <c r="C841" s="9"/>
      <c r="D841" s="6"/>
      <c r="E841" s="9"/>
      <c r="F841" s="6"/>
      <c r="G841" s="6"/>
      <c r="H841" s="6"/>
      <c r="I841" s="6"/>
      <c r="J841" s="6"/>
      <c r="K841" s="6"/>
      <c r="L841" s="6"/>
      <c r="M841" s="6"/>
      <c r="N841" s="6"/>
      <c r="O841" s="6"/>
      <c r="P841" s="6"/>
      <c r="Q841" s="6"/>
      <c r="R841" s="6"/>
      <c r="S841" s="6"/>
      <c r="T841" s="6"/>
      <c r="U841" s="6"/>
      <c r="V841" s="6"/>
      <c r="W841" s="6"/>
      <c r="X841" s="6"/>
      <c r="Y841" s="6"/>
      <c r="Z841" s="6"/>
    </row>
    <row r="842">
      <c r="A842" s="9"/>
      <c r="B842" s="9"/>
      <c r="C842" s="9"/>
      <c r="D842" s="6"/>
      <c r="E842" s="9"/>
      <c r="F842" s="6"/>
      <c r="G842" s="6"/>
      <c r="H842" s="6"/>
      <c r="I842" s="6"/>
      <c r="J842" s="6"/>
      <c r="K842" s="6"/>
      <c r="L842" s="6"/>
      <c r="M842" s="6"/>
      <c r="N842" s="6"/>
      <c r="O842" s="6"/>
      <c r="P842" s="6"/>
      <c r="Q842" s="6"/>
      <c r="R842" s="6"/>
      <c r="S842" s="6"/>
      <c r="T842" s="6"/>
      <c r="U842" s="6"/>
      <c r="V842" s="6"/>
      <c r="W842" s="6"/>
      <c r="X842" s="6"/>
      <c r="Y842" s="6"/>
      <c r="Z842" s="6"/>
    </row>
    <row r="843">
      <c r="A843" s="9"/>
      <c r="B843" s="9"/>
      <c r="C843" s="9"/>
      <c r="D843" s="6"/>
      <c r="E843" s="9"/>
      <c r="F843" s="6"/>
      <c r="G843" s="6"/>
      <c r="H843" s="6"/>
      <c r="I843" s="6"/>
      <c r="J843" s="6"/>
      <c r="K843" s="6"/>
      <c r="L843" s="6"/>
      <c r="M843" s="6"/>
      <c r="N843" s="6"/>
      <c r="O843" s="6"/>
      <c r="P843" s="6"/>
      <c r="Q843" s="6"/>
      <c r="R843" s="6"/>
      <c r="S843" s="6"/>
      <c r="T843" s="6"/>
      <c r="U843" s="6"/>
      <c r="V843" s="6"/>
      <c r="W843" s="6"/>
      <c r="X843" s="6"/>
      <c r="Y843" s="6"/>
      <c r="Z843" s="6"/>
    </row>
    <row r="844">
      <c r="A844" s="9"/>
      <c r="B844" s="9"/>
      <c r="C844" s="9"/>
      <c r="D844" s="6"/>
      <c r="E844" s="9"/>
      <c r="F844" s="6"/>
      <c r="G844" s="6"/>
      <c r="H844" s="6"/>
      <c r="I844" s="6"/>
      <c r="J844" s="6"/>
      <c r="K844" s="6"/>
      <c r="L844" s="6"/>
      <c r="M844" s="6"/>
      <c r="N844" s="6"/>
      <c r="O844" s="6"/>
      <c r="P844" s="6"/>
      <c r="Q844" s="6"/>
      <c r="R844" s="6"/>
      <c r="S844" s="6"/>
      <c r="T844" s="6"/>
      <c r="U844" s="6"/>
      <c r="V844" s="6"/>
      <c r="W844" s="6"/>
      <c r="X844" s="6"/>
      <c r="Y844" s="6"/>
      <c r="Z844" s="6"/>
    </row>
    <row r="845">
      <c r="A845" s="9"/>
      <c r="B845" s="9"/>
      <c r="C845" s="9"/>
      <c r="D845" s="6"/>
      <c r="E845" s="9"/>
      <c r="F845" s="6"/>
      <c r="G845" s="6"/>
      <c r="H845" s="6"/>
      <c r="I845" s="6"/>
      <c r="J845" s="6"/>
      <c r="K845" s="6"/>
      <c r="L845" s="6"/>
      <c r="M845" s="6"/>
      <c r="N845" s="6"/>
      <c r="O845" s="6"/>
      <c r="P845" s="6"/>
      <c r="Q845" s="6"/>
      <c r="R845" s="6"/>
      <c r="S845" s="6"/>
      <c r="T845" s="6"/>
      <c r="U845" s="6"/>
      <c r="V845" s="6"/>
      <c r="W845" s="6"/>
      <c r="X845" s="6"/>
      <c r="Y845" s="6"/>
      <c r="Z845" s="6"/>
    </row>
    <row r="846">
      <c r="A846" s="9"/>
      <c r="B846" s="9"/>
      <c r="C846" s="9"/>
      <c r="D846" s="6"/>
      <c r="E846" s="9"/>
      <c r="F846" s="6"/>
      <c r="G846" s="6"/>
      <c r="H846" s="6"/>
      <c r="I846" s="6"/>
      <c r="J846" s="6"/>
      <c r="K846" s="6"/>
      <c r="L846" s="6"/>
      <c r="M846" s="6"/>
      <c r="N846" s="6"/>
      <c r="O846" s="6"/>
      <c r="P846" s="6"/>
      <c r="Q846" s="6"/>
      <c r="R846" s="6"/>
      <c r="S846" s="6"/>
      <c r="T846" s="6"/>
      <c r="U846" s="6"/>
      <c r="V846" s="6"/>
      <c r="W846" s="6"/>
      <c r="X846" s="6"/>
      <c r="Y846" s="6"/>
      <c r="Z846" s="6"/>
    </row>
    <row r="847">
      <c r="A847" s="9"/>
      <c r="B847" s="9"/>
      <c r="C847" s="9"/>
      <c r="D847" s="6"/>
      <c r="E847" s="9"/>
      <c r="F847" s="6"/>
      <c r="G847" s="6"/>
      <c r="H847" s="6"/>
      <c r="I847" s="6"/>
      <c r="J847" s="6"/>
      <c r="K847" s="6"/>
      <c r="L847" s="6"/>
      <c r="M847" s="6"/>
      <c r="N847" s="6"/>
      <c r="O847" s="6"/>
      <c r="P847" s="6"/>
      <c r="Q847" s="6"/>
      <c r="R847" s="6"/>
      <c r="S847" s="6"/>
      <c r="T847" s="6"/>
      <c r="U847" s="6"/>
      <c r="V847" s="6"/>
      <c r="W847" s="6"/>
      <c r="X847" s="6"/>
      <c r="Y847" s="6"/>
      <c r="Z847" s="6"/>
    </row>
    <row r="848">
      <c r="A848" s="9"/>
      <c r="B848" s="9"/>
      <c r="C848" s="9"/>
      <c r="D848" s="6"/>
      <c r="E848" s="9"/>
      <c r="F848" s="6"/>
      <c r="G848" s="6"/>
      <c r="H848" s="6"/>
      <c r="I848" s="6"/>
      <c r="J848" s="6"/>
      <c r="K848" s="6"/>
      <c r="L848" s="6"/>
      <c r="M848" s="6"/>
      <c r="N848" s="6"/>
      <c r="O848" s="6"/>
      <c r="P848" s="6"/>
      <c r="Q848" s="6"/>
      <c r="R848" s="6"/>
      <c r="S848" s="6"/>
      <c r="T848" s="6"/>
      <c r="U848" s="6"/>
      <c r="V848" s="6"/>
      <c r="W848" s="6"/>
      <c r="X848" s="6"/>
      <c r="Y848" s="6"/>
      <c r="Z848" s="6"/>
    </row>
    <row r="849">
      <c r="A849" s="9"/>
      <c r="B849" s="9"/>
      <c r="C849" s="9"/>
      <c r="D849" s="6"/>
      <c r="E849" s="9"/>
      <c r="F849" s="6"/>
      <c r="G849" s="6"/>
      <c r="H849" s="6"/>
      <c r="I849" s="6"/>
      <c r="J849" s="6"/>
      <c r="K849" s="6"/>
      <c r="L849" s="6"/>
      <c r="M849" s="6"/>
      <c r="N849" s="6"/>
      <c r="O849" s="6"/>
      <c r="P849" s="6"/>
      <c r="Q849" s="6"/>
      <c r="R849" s="6"/>
      <c r="S849" s="6"/>
      <c r="T849" s="6"/>
      <c r="U849" s="6"/>
      <c r="V849" s="6"/>
      <c r="W849" s="6"/>
      <c r="X849" s="6"/>
      <c r="Y849" s="6"/>
      <c r="Z849" s="6"/>
    </row>
    <row r="850">
      <c r="A850" s="9"/>
      <c r="B850" s="9"/>
      <c r="C850" s="9"/>
      <c r="D850" s="6"/>
      <c r="E850" s="9"/>
      <c r="F850" s="6"/>
      <c r="G850" s="6"/>
      <c r="H850" s="6"/>
      <c r="I850" s="6"/>
      <c r="J850" s="6"/>
      <c r="K850" s="6"/>
      <c r="L850" s="6"/>
      <c r="M850" s="6"/>
      <c r="N850" s="6"/>
      <c r="O850" s="6"/>
      <c r="P850" s="6"/>
      <c r="Q850" s="6"/>
      <c r="R850" s="6"/>
      <c r="S850" s="6"/>
      <c r="T850" s="6"/>
      <c r="U850" s="6"/>
      <c r="V850" s="6"/>
      <c r="W850" s="6"/>
      <c r="X850" s="6"/>
      <c r="Y850" s="6"/>
      <c r="Z850" s="6"/>
    </row>
    <row r="851">
      <c r="A851" s="9"/>
      <c r="B851" s="9"/>
      <c r="C851" s="9"/>
      <c r="D851" s="6"/>
      <c r="E851" s="9"/>
      <c r="F851" s="6"/>
      <c r="G851" s="6"/>
      <c r="H851" s="6"/>
      <c r="I851" s="6"/>
      <c r="J851" s="6"/>
      <c r="K851" s="6"/>
      <c r="L851" s="6"/>
      <c r="M851" s="6"/>
      <c r="N851" s="6"/>
      <c r="O851" s="6"/>
      <c r="P851" s="6"/>
      <c r="Q851" s="6"/>
      <c r="R851" s="6"/>
      <c r="S851" s="6"/>
      <c r="T851" s="6"/>
      <c r="U851" s="6"/>
      <c r="V851" s="6"/>
      <c r="W851" s="6"/>
      <c r="X851" s="6"/>
      <c r="Y851" s="6"/>
      <c r="Z851" s="6"/>
    </row>
    <row r="852">
      <c r="A852" s="9"/>
      <c r="B852" s="9"/>
      <c r="C852" s="9"/>
      <c r="D852" s="6"/>
      <c r="E852" s="9"/>
      <c r="F852" s="6"/>
      <c r="G852" s="6"/>
      <c r="H852" s="6"/>
      <c r="I852" s="6"/>
      <c r="J852" s="6"/>
      <c r="K852" s="6"/>
      <c r="L852" s="6"/>
      <c r="M852" s="6"/>
      <c r="N852" s="6"/>
      <c r="O852" s="6"/>
      <c r="P852" s="6"/>
      <c r="Q852" s="6"/>
      <c r="R852" s="6"/>
      <c r="S852" s="6"/>
      <c r="T852" s="6"/>
      <c r="U852" s="6"/>
      <c r="V852" s="6"/>
      <c r="W852" s="6"/>
      <c r="X852" s="6"/>
      <c r="Y852" s="6"/>
      <c r="Z852" s="6"/>
    </row>
    <row r="853">
      <c r="A853" s="9"/>
      <c r="B853" s="9"/>
      <c r="C853" s="9"/>
      <c r="D853" s="6"/>
      <c r="E853" s="9"/>
      <c r="F853" s="6"/>
      <c r="G853" s="6"/>
      <c r="H853" s="6"/>
      <c r="I853" s="6"/>
      <c r="J853" s="6"/>
      <c r="K853" s="6"/>
      <c r="L853" s="6"/>
      <c r="M853" s="6"/>
      <c r="N853" s="6"/>
      <c r="O853" s="6"/>
      <c r="P853" s="6"/>
      <c r="Q853" s="6"/>
      <c r="R853" s="6"/>
      <c r="S853" s="6"/>
      <c r="T853" s="6"/>
      <c r="U853" s="6"/>
      <c r="V853" s="6"/>
      <c r="W853" s="6"/>
      <c r="X853" s="6"/>
      <c r="Y853" s="6"/>
      <c r="Z853" s="6"/>
    </row>
    <row r="854">
      <c r="A854" s="9"/>
      <c r="B854" s="9"/>
      <c r="C854" s="9"/>
      <c r="D854" s="6"/>
      <c r="E854" s="9"/>
      <c r="F854" s="6"/>
      <c r="G854" s="6"/>
      <c r="H854" s="6"/>
      <c r="I854" s="6"/>
      <c r="J854" s="6"/>
      <c r="K854" s="6"/>
      <c r="L854" s="6"/>
      <c r="M854" s="6"/>
      <c r="N854" s="6"/>
      <c r="O854" s="6"/>
      <c r="P854" s="6"/>
      <c r="Q854" s="6"/>
      <c r="R854" s="6"/>
      <c r="S854" s="6"/>
      <c r="T854" s="6"/>
      <c r="U854" s="6"/>
      <c r="V854" s="6"/>
      <c r="W854" s="6"/>
      <c r="X854" s="6"/>
      <c r="Y854" s="6"/>
      <c r="Z854" s="6"/>
    </row>
    <row r="855">
      <c r="A855" s="9"/>
      <c r="B855" s="9"/>
      <c r="C855" s="9"/>
      <c r="D855" s="6"/>
      <c r="E855" s="9"/>
      <c r="F855" s="6"/>
      <c r="G855" s="6"/>
      <c r="H855" s="6"/>
      <c r="I855" s="6"/>
      <c r="J855" s="6"/>
      <c r="K855" s="6"/>
      <c r="L855" s="6"/>
      <c r="M855" s="6"/>
      <c r="N855" s="6"/>
      <c r="O855" s="6"/>
      <c r="P855" s="6"/>
      <c r="Q855" s="6"/>
      <c r="R855" s="6"/>
      <c r="S855" s="6"/>
      <c r="T855" s="6"/>
      <c r="U855" s="6"/>
      <c r="V855" s="6"/>
      <c r="W855" s="6"/>
      <c r="X855" s="6"/>
      <c r="Y855" s="6"/>
      <c r="Z855" s="6"/>
    </row>
    <row r="856">
      <c r="A856" s="9"/>
      <c r="B856" s="9"/>
      <c r="C856" s="9"/>
      <c r="D856" s="6"/>
      <c r="E856" s="9"/>
      <c r="F856" s="6"/>
      <c r="G856" s="6"/>
      <c r="H856" s="6"/>
      <c r="I856" s="6"/>
      <c r="J856" s="6"/>
      <c r="K856" s="6"/>
      <c r="L856" s="6"/>
      <c r="M856" s="6"/>
      <c r="N856" s="6"/>
      <c r="O856" s="6"/>
      <c r="P856" s="6"/>
      <c r="Q856" s="6"/>
      <c r="R856" s="6"/>
      <c r="S856" s="6"/>
      <c r="T856" s="6"/>
      <c r="U856" s="6"/>
      <c r="V856" s="6"/>
      <c r="W856" s="6"/>
      <c r="X856" s="6"/>
      <c r="Y856" s="6"/>
      <c r="Z856" s="6"/>
    </row>
    <row r="857">
      <c r="A857" s="9"/>
      <c r="B857" s="9"/>
      <c r="C857" s="9"/>
      <c r="D857" s="6"/>
      <c r="E857" s="9"/>
      <c r="F857" s="6"/>
      <c r="G857" s="6"/>
      <c r="H857" s="6"/>
      <c r="I857" s="6"/>
      <c r="J857" s="6"/>
      <c r="K857" s="6"/>
      <c r="L857" s="6"/>
      <c r="M857" s="6"/>
      <c r="N857" s="6"/>
      <c r="O857" s="6"/>
      <c r="P857" s="6"/>
      <c r="Q857" s="6"/>
      <c r="R857" s="6"/>
      <c r="S857" s="6"/>
      <c r="T857" s="6"/>
      <c r="U857" s="6"/>
      <c r="V857" s="6"/>
      <c r="W857" s="6"/>
      <c r="X857" s="6"/>
      <c r="Y857" s="6"/>
      <c r="Z857" s="6"/>
    </row>
    <row r="858">
      <c r="A858" s="9"/>
      <c r="B858" s="9"/>
      <c r="C858" s="9"/>
      <c r="D858" s="6"/>
      <c r="E858" s="9"/>
      <c r="F858" s="6"/>
      <c r="G858" s="6"/>
      <c r="H858" s="6"/>
      <c r="I858" s="6"/>
      <c r="J858" s="6"/>
      <c r="K858" s="6"/>
      <c r="L858" s="6"/>
      <c r="M858" s="6"/>
      <c r="N858" s="6"/>
      <c r="O858" s="6"/>
      <c r="P858" s="6"/>
      <c r="Q858" s="6"/>
      <c r="R858" s="6"/>
      <c r="S858" s="6"/>
      <c r="T858" s="6"/>
      <c r="U858" s="6"/>
      <c r="V858" s="6"/>
      <c r="W858" s="6"/>
      <c r="X858" s="6"/>
      <c r="Y858" s="6"/>
      <c r="Z858" s="6"/>
    </row>
    <row r="859">
      <c r="A859" s="9"/>
      <c r="B859" s="9"/>
      <c r="C859" s="9"/>
      <c r="D859" s="6"/>
      <c r="E859" s="9"/>
      <c r="F859" s="6"/>
      <c r="G859" s="6"/>
      <c r="H859" s="6"/>
      <c r="I859" s="6"/>
      <c r="J859" s="6"/>
      <c r="K859" s="6"/>
      <c r="L859" s="6"/>
      <c r="M859" s="6"/>
      <c r="N859" s="6"/>
      <c r="O859" s="6"/>
      <c r="P859" s="6"/>
      <c r="Q859" s="6"/>
      <c r="R859" s="6"/>
      <c r="S859" s="6"/>
      <c r="T859" s="6"/>
      <c r="U859" s="6"/>
      <c r="V859" s="6"/>
      <c r="W859" s="6"/>
      <c r="X859" s="6"/>
      <c r="Y859" s="6"/>
      <c r="Z859" s="6"/>
    </row>
    <row r="860">
      <c r="A860" s="9"/>
      <c r="B860" s="9"/>
      <c r="C860" s="9"/>
      <c r="D860" s="6"/>
      <c r="E860" s="9"/>
      <c r="F860" s="6"/>
      <c r="G860" s="6"/>
      <c r="H860" s="6"/>
      <c r="I860" s="6"/>
      <c r="J860" s="6"/>
      <c r="K860" s="6"/>
      <c r="L860" s="6"/>
      <c r="M860" s="6"/>
      <c r="N860" s="6"/>
      <c r="O860" s="6"/>
      <c r="P860" s="6"/>
      <c r="Q860" s="6"/>
      <c r="R860" s="6"/>
      <c r="S860" s="6"/>
      <c r="T860" s="6"/>
      <c r="U860" s="6"/>
      <c r="V860" s="6"/>
      <c r="W860" s="6"/>
      <c r="X860" s="6"/>
      <c r="Y860" s="6"/>
      <c r="Z860" s="6"/>
    </row>
    <row r="861">
      <c r="A861" s="9"/>
      <c r="B861" s="9"/>
      <c r="C861" s="9"/>
      <c r="D861" s="6"/>
      <c r="E861" s="9"/>
      <c r="F861" s="6"/>
      <c r="G861" s="6"/>
      <c r="H861" s="6"/>
      <c r="I861" s="6"/>
      <c r="J861" s="6"/>
      <c r="K861" s="6"/>
      <c r="L861" s="6"/>
      <c r="M861" s="6"/>
      <c r="N861" s="6"/>
      <c r="O861" s="6"/>
      <c r="P861" s="6"/>
      <c r="Q861" s="6"/>
      <c r="R861" s="6"/>
      <c r="S861" s="6"/>
      <c r="T861" s="6"/>
      <c r="U861" s="6"/>
      <c r="V861" s="6"/>
      <c r="W861" s="6"/>
      <c r="X861" s="6"/>
      <c r="Y861" s="6"/>
      <c r="Z861" s="6"/>
    </row>
    <row r="862">
      <c r="A862" s="9"/>
      <c r="B862" s="9"/>
      <c r="C862" s="9"/>
      <c r="D862" s="6"/>
      <c r="E862" s="9"/>
      <c r="F862" s="6"/>
      <c r="G862" s="6"/>
      <c r="H862" s="6"/>
      <c r="I862" s="6"/>
      <c r="J862" s="6"/>
      <c r="K862" s="6"/>
      <c r="L862" s="6"/>
      <c r="M862" s="6"/>
      <c r="N862" s="6"/>
      <c r="O862" s="6"/>
      <c r="P862" s="6"/>
      <c r="Q862" s="6"/>
      <c r="R862" s="6"/>
      <c r="S862" s="6"/>
      <c r="T862" s="6"/>
      <c r="U862" s="6"/>
      <c r="V862" s="6"/>
      <c r="W862" s="6"/>
      <c r="X862" s="6"/>
      <c r="Y862" s="6"/>
      <c r="Z862" s="6"/>
    </row>
    <row r="863">
      <c r="A863" s="9"/>
      <c r="B863" s="9"/>
      <c r="C863" s="9"/>
      <c r="D863" s="6"/>
      <c r="E863" s="9"/>
      <c r="F863" s="6"/>
      <c r="G863" s="6"/>
      <c r="H863" s="6"/>
      <c r="I863" s="6"/>
      <c r="J863" s="6"/>
      <c r="K863" s="6"/>
      <c r="L863" s="6"/>
      <c r="M863" s="6"/>
      <c r="N863" s="6"/>
      <c r="O863" s="6"/>
      <c r="P863" s="6"/>
      <c r="Q863" s="6"/>
      <c r="R863" s="6"/>
      <c r="S863" s="6"/>
      <c r="T863" s="6"/>
      <c r="U863" s="6"/>
      <c r="V863" s="6"/>
      <c r="W863" s="6"/>
      <c r="X863" s="6"/>
      <c r="Y863" s="6"/>
      <c r="Z863" s="6"/>
    </row>
    <row r="864">
      <c r="A864" s="9"/>
      <c r="B864" s="9"/>
      <c r="C864" s="9"/>
      <c r="D864" s="6"/>
      <c r="E864" s="9"/>
      <c r="F864" s="6"/>
      <c r="G864" s="6"/>
      <c r="H864" s="6"/>
      <c r="I864" s="6"/>
      <c r="J864" s="6"/>
      <c r="K864" s="6"/>
      <c r="L864" s="6"/>
      <c r="M864" s="6"/>
      <c r="N864" s="6"/>
      <c r="O864" s="6"/>
      <c r="P864" s="6"/>
      <c r="Q864" s="6"/>
      <c r="R864" s="6"/>
      <c r="S864" s="6"/>
      <c r="T864" s="6"/>
      <c r="U864" s="6"/>
      <c r="V864" s="6"/>
      <c r="W864" s="6"/>
      <c r="X864" s="6"/>
      <c r="Y864" s="6"/>
      <c r="Z864" s="6"/>
    </row>
    <row r="865">
      <c r="A865" s="9"/>
      <c r="B865" s="9"/>
      <c r="C865" s="9"/>
      <c r="D865" s="6"/>
      <c r="E865" s="9"/>
      <c r="F865" s="6"/>
      <c r="G865" s="6"/>
      <c r="H865" s="6"/>
      <c r="I865" s="6"/>
      <c r="J865" s="6"/>
      <c r="K865" s="6"/>
      <c r="L865" s="6"/>
      <c r="M865" s="6"/>
      <c r="N865" s="6"/>
      <c r="O865" s="6"/>
      <c r="P865" s="6"/>
      <c r="Q865" s="6"/>
      <c r="R865" s="6"/>
      <c r="S865" s="6"/>
      <c r="T865" s="6"/>
      <c r="U865" s="6"/>
      <c r="V865" s="6"/>
      <c r="W865" s="6"/>
      <c r="X865" s="6"/>
      <c r="Y865" s="6"/>
      <c r="Z865" s="6"/>
    </row>
    <row r="866">
      <c r="A866" s="9"/>
      <c r="B866" s="9"/>
      <c r="C866" s="9"/>
      <c r="D866" s="6"/>
      <c r="E866" s="9"/>
      <c r="F866" s="6"/>
      <c r="G866" s="6"/>
      <c r="H866" s="6"/>
      <c r="I866" s="6"/>
      <c r="J866" s="6"/>
      <c r="K866" s="6"/>
      <c r="L866" s="6"/>
      <c r="M866" s="6"/>
      <c r="N866" s="6"/>
      <c r="O866" s="6"/>
      <c r="P866" s="6"/>
      <c r="Q866" s="6"/>
      <c r="R866" s="6"/>
      <c r="S866" s="6"/>
      <c r="T866" s="6"/>
      <c r="U866" s="6"/>
      <c r="V866" s="6"/>
      <c r="W866" s="6"/>
      <c r="X866" s="6"/>
      <c r="Y866" s="6"/>
      <c r="Z866" s="6"/>
    </row>
    <row r="867">
      <c r="A867" s="9"/>
      <c r="B867" s="9"/>
      <c r="C867" s="9"/>
      <c r="D867" s="6"/>
      <c r="E867" s="9"/>
      <c r="F867" s="6"/>
      <c r="G867" s="6"/>
      <c r="H867" s="6"/>
      <c r="I867" s="6"/>
      <c r="J867" s="6"/>
      <c r="K867" s="6"/>
      <c r="L867" s="6"/>
      <c r="M867" s="6"/>
      <c r="N867" s="6"/>
      <c r="O867" s="6"/>
      <c r="P867" s="6"/>
      <c r="Q867" s="6"/>
      <c r="R867" s="6"/>
      <c r="S867" s="6"/>
      <c r="T867" s="6"/>
      <c r="U867" s="6"/>
      <c r="V867" s="6"/>
      <c r="W867" s="6"/>
      <c r="X867" s="6"/>
      <c r="Y867" s="6"/>
      <c r="Z867" s="6"/>
    </row>
    <row r="868">
      <c r="A868" s="9"/>
      <c r="B868" s="9"/>
      <c r="C868" s="9"/>
      <c r="D868" s="6"/>
      <c r="E868" s="9"/>
      <c r="F868" s="6"/>
      <c r="G868" s="6"/>
      <c r="H868" s="6"/>
      <c r="I868" s="6"/>
      <c r="J868" s="6"/>
      <c r="K868" s="6"/>
      <c r="L868" s="6"/>
      <c r="M868" s="6"/>
      <c r="N868" s="6"/>
      <c r="O868" s="6"/>
      <c r="P868" s="6"/>
      <c r="Q868" s="6"/>
      <c r="R868" s="6"/>
      <c r="S868" s="6"/>
      <c r="T868" s="6"/>
      <c r="U868" s="6"/>
      <c r="V868" s="6"/>
      <c r="W868" s="6"/>
      <c r="X868" s="6"/>
      <c r="Y868" s="6"/>
      <c r="Z868" s="6"/>
    </row>
    <row r="869">
      <c r="A869" s="9"/>
      <c r="B869" s="9"/>
      <c r="C869" s="9"/>
      <c r="D869" s="6"/>
      <c r="E869" s="9"/>
      <c r="F869" s="6"/>
      <c r="G869" s="6"/>
      <c r="H869" s="6"/>
      <c r="I869" s="6"/>
      <c r="J869" s="6"/>
      <c r="K869" s="6"/>
      <c r="L869" s="6"/>
      <c r="M869" s="6"/>
      <c r="N869" s="6"/>
      <c r="O869" s="6"/>
      <c r="P869" s="6"/>
      <c r="Q869" s="6"/>
      <c r="R869" s="6"/>
      <c r="S869" s="6"/>
      <c r="T869" s="6"/>
      <c r="U869" s="6"/>
      <c r="V869" s="6"/>
      <c r="W869" s="6"/>
      <c r="X869" s="6"/>
      <c r="Y869" s="6"/>
      <c r="Z869" s="6"/>
    </row>
    <row r="870">
      <c r="A870" s="9"/>
      <c r="B870" s="9"/>
      <c r="C870" s="9"/>
      <c r="D870" s="6"/>
      <c r="E870" s="9"/>
      <c r="F870" s="6"/>
      <c r="G870" s="6"/>
      <c r="H870" s="6"/>
      <c r="I870" s="6"/>
      <c r="J870" s="6"/>
      <c r="K870" s="6"/>
      <c r="L870" s="6"/>
      <c r="M870" s="6"/>
      <c r="N870" s="6"/>
      <c r="O870" s="6"/>
      <c r="P870" s="6"/>
      <c r="Q870" s="6"/>
      <c r="R870" s="6"/>
      <c r="S870" s="6"/>
      <c r="T870" s="6"/>
      <c r="U870" s="6"/>
      <c r="V870" s="6"/>
      <c r="W870" s="6"/>
      <c r="X870" s="6"/>
      <c r="Y870" s="6"/>
      <c r="Z870" s="6"/>
    </row>
    <row r="871">
      <c r="A871" s="9"/>
      <c r="B871" s="9"/>
      <c r="C871" s="9"/>
      <c r="D871" s="6"/>
      <c r="E871" s="9"/>
      <c r="F871" s="6"/>
      <c r="G871" s="6"/>
      <c r="H871" s="6"/>
      <c r="I871" s="6"/>
      <c r="J871" s="6"/>
      <c r="K871" s="6"/>
      <c r="L871" s="6"/>
      <c r="M871" s="6"/>
      <c r="N871" s="6"/>
      <c r="O871" s="6"/>
      <c r="P871" s="6"/>
      <c r="Q871" s="6"/>
      <c r="R871" s="6"/>
      <c r="S871" s="6"/>
      <c r="T871" s="6"/>
      <c r="U871" s="6"/>
      <c r="V871" s="6"/>
      <c r="W871" s="6"/>
      <c r="X871" s="6"/>
      <c r="Y871" s="6"/>
      <c r="Z871" s="6"/>
    </row>
    <row r="872">
      <c r="A872" s="9"/>
      <c r="B872" s="9"/>
      <c r="C872" s="9"/>
      <c r="D872" s="6"/>
      <c r="E872" s="9"/>
      <c r="F872" s="6"/>
      <c r="G872" s="6"/>
      <c r="H872" s="6"/>
      <c r="I872" s="6"/>
      <c r="J872" s="6"/>
      <c r="K872" s="6"/>
      <c r="L872" s="6"/>
      <c r="M872" s="6"/>
      <c r="N872" s="6"/>
      <c r="O872" s="6"/>
      <c r="P872" s="6"/>
      <c r="Q872" s="6"/>
      <c r="R872" s="6"/>
      <c r="S872" s="6"/>
      <c r="T872" s="6"/>
      <c r="U872" s="6"/>
      <c r="V872" s="6"/>
      <c r="W872" s="6"/>
      <c r="X872" s="6"/>
      <c r="Y872" s="6"/>
      <c r="Z872" s="6"/>
    </row>
    <row r="873">
      <c r="A873" s="9"/>
      <c r="B873" s="9"/>
      <c r="C873" s="9"/>
      <c r="D873" s="6"/>
      <c r="E873" s="9"/>
      <c r="F873" s="6"/>
      <c r="G873" s="6"/>
      <c r="H873" s="6"/>
      <c r="I873" s="6"/>
      <c r="J873" s="6"/>
      <c r="K873" s="6"/>
      <c r="L873" s="6"/>
      <c r="M873" s="6"/>
      <c r="N873" s="6"/>
      <c r="O873" s="6"/>
      <c r="P873" s="6"/>
      <c r="Q873" s="6"/>
      <c r="R873" s="6"/>
      <c r="S873" s="6"/>
      <c r="T873" s="6"/>
      <c r="U873" s="6"/>
      <c r="V873" s="6"/>
      <c r="W873" s="6"/>
      <c r="X873" s="6"/>
      <c r="Y873" s="6"/>
      <c r="Z873" s="6"/>
    </row>
    <row r="874">
      <c r="A874" s="9"/>
      <c r="B874" s="9"/>
      <c r="C874" s="9"/>
      <c r="D874" s="6"/>
      <c r="E874" s="9"/>
      <c r="F874" s="6"/>
      <c r="G874" s="6"/>
      <c r="H874" s="6"/>
      <c r="I874" s="6"/>
      <c r="J874" s="6"/>
      <c r="K874" s="6"/>
      <c r="L874" s="6"/>
      <c r="M874" s="6"/>
      <c r="N874" s="6"/>
      <c r="O874" s="6"/>
      <c r="P874" s="6"/>
      <c r="Q874" s="6"/>
      <c r="R874" s="6"/>
      <c r="S874" s="6"/>
      <c r="T874" s="6"/>
      <c r="U874" s="6"/>
      <c r="V874" s="6"/>
      <c r="W874" s="6"/>
      <c r="X874" s="6"/>
      <c r="Y874" s="6"/>
      <c r="Z874" s="6"/>
    </row>
    <row r="875">
      <c r="A875" s="9"/>
      <c r="B875" s="9"/>
      <c r="C875" s="9"/>
      <c r="D875" s="6"/>
      <c r="E875" s="9"/>
      <c r="F875" s="6"/>
      <c r="G875" s="6"/>
      <c r="H875" s="6"/>
      <c r="I875" s="6"/>
      <c r="J875" s="6"/>
      <c r="K875" s="6"/>
      <c r="L875" s="6"/>
      <c r="M875" s="6"/>
      <c r="N875" s="6"/>
      <c r="O875" s="6"/>
      <c r="P875" s="6"/>
      <c r="Q875" s="6"/>
      <c r="R875" s="6"/>
      <c r="S875" s="6"/>
      <c r="T875" s="6"/>
      <c r="U875" s="6"/>
      <c r="V875" s="6"/>
      <c r="W875" s="6"/>
      <c r="X875" s="6"/>
      <c r="Y875" s="6"/>
      <c r="Z875" s="6"/>
    </row>
    <row r="876">
      <c r="A876" s="9"/>
      <c r="B876" s="9"/>
      <c r="C876" s="9"/>
      <c r="D876" s="6"/>
      <c r="E876" s="9"/>
      <c r="F876" s="6"/>
      <c r="G876" s="6"/>
      <c r="H876" s="6"/>
      <c r="I876" s="6"/>
      <c r="J876" s="6"/>
      <c r="K876" s="6"/>
      <c r="L876" s="6"/>
      <c r="M876" s="6"/>
      <c r="N876" s="6"/>
      <c r="O876" s="6"/>
      <c r="P876" s="6"/>
      <c r="Q876" s="6"/>
      <c r="R876" s="6"/>
      <c r="S876" s="6"/>
      <c r="T876" s="6"/>
      <c r="U876" s="6"/>
      <c r="V876" s="6"/>
      <c r="W876" s="6"/>
      <c r="X876" s="6"/>
      <c r="Y876" s="6"/>
      <c r="Z876" s="6"/>
    </row>
    <row r="877">
      <c r="A877" s="9"/>
      <c r="B877" s="9"/>
      <c r="C877" s="9"/>
      <c r="D877" s="6"/>
      <c r="E877" s="9"/>
      <c r="F877" s="6"/>
      <c r="G877" s="6"/>
      <c r="H877" s="6"/>
      <c r="I877" s="6"/>
      <c r="J877" s="6"/>
      <c r="K877" s="6"/>
      <c r="L877" s="6"/>
      <c r="M877" s="6"/>
      <c r="N877" s="6"/>
      <c r="O877" s="6"/>
      <c r="P877" s="6"/>
      <c r="Q877" s="6"/>
      <c r="R877" s="6"/>
      <c r="S877" s="6"/>
      <c r="T877" s="6"/>
      <c r="U877" s="6"/>
      <c r="V877" s="6"/>
      <c r="W877" s="6"/>
      <c r="X877" s="6"/>
      <c r="Y877" s="6"/>
      <c r="Z877" s="6"/>
    </row>
    <row r="878">
      <c r="A878" s="9"/>
      <c r="B878" s="9"/>
      <c r="C878" s="9"/>
      <c r="D878" s="6"/>
      <c r="E878" s="9"/>
      <c r="F878" s="6"/>
      <c r="G878" s="6"/>
      <c r="H878" s="6"/>
      <c r="I878" s="6"/>
      <c r="J878" s="6"/>
      <c r="K878" s="6"/>
      <c r="L878" s="6"/>
      <c r="M878" s="6"/>
      <c r="N878" s="6"/>
      <c r="O878" s="6"/>
      <c r="P878" s="6"/>
      <c r="Q878" s="6"/>
      <c r="R878" s="6"/>
      <c r="S878" s="6"/>
      <c r="T878" s="6"/>
      <c r="U878" s="6"/>
      <c r="V878" s="6"/>
      <c r="W878" s="6"/>
      <c r="X878" s="6"/>
      <c r="Y878" s="6"/>
      <c r="Z878" s="6"/>
    </row>
    <row r="879">
      <c r="A879" s="9"/>
      <c r="B879" s="9"/>
      <c r="C879" s="9"/>
      <c r="D879" s="6"/>
      <c r="E879" s="9"/>
      <c r="F879" s="6"/>
      <c r="G879" s="6"/>
      <c r="H879" s="6"/>
      <c r="I879" s="6"/>
      <c r="J879" s="6"/>
      <c r="K879" s="6"/>
      <c r="L879" s="6"/>
      <c r="M879" s="6"/>
      <c r="N879" s="6"/>
      <c r="O879" s="6"/>
      <c r="P879" s="6"/>
      <c r="Q879" s="6"/>
      <c r="R879" s="6"/>
      <c r="S879" s="6"/>
      <c r="T879" s="6"/>
      <c r="U879" s="6"/>
      <c r="V879" s="6"/>
      <c r="W879" s="6"/>
      <c r="X879" s="6"/>
      <c r="Y879" s="6"/>
      <c r="Z879" s="6"/>
    </row>
    <row r="880">
      <c r="A880" s="9"/>
      <c r="B880" s="9"/>
      <c r="C880" s="9"/>
      <c r="D880" s="6"/>
      <c r="E880" s="9"/>
      <c r="F880" s="6"/>
      <c r="G880" s="6"/>
      <c r="H880" s="6"/>
      <c r="I880" s="6"/>
      <c r="J880" s="6"/>
      <c r="K880" s="6"/>
      <c r="L880" s="6"/>
      <c r="M880" s="6"/>
      <c r="N880" s="6"/>
      <c r="O880" s="6"/>
      <c r="P880" s="6"/>
      <c r="Q880" s="6"/>
      <c r="R880" s="6"/>
      <c r="S880" s="6"/>
      <c r="T880" s="6"/>
      <c r="U880" s="6"/>
      <c r="V880" s="6"/>
      <c r="W880" s="6"/>
      <c r="X880" s="6"/>
      <c r="Y880" s="6"/>
      <c r="Z880" s="6"/>
    </row>
    <row r="881">
      <c r="A881" s="9"/>
      <c r="B881" s="9"/>
      <c r="C881" s="9"/>
      <c r="D881" s="6"/>
      <c r="E881" s="9"/>
      <c r="F881" s="6"/>
      <c r="G881" s="6"/>
      <c r="H881" s="6"/>
      <c r="I881" s="6"/>
      <c r="J881" s="6"/>
      <c r="K881" s="6"/>
      <c r="L881" s="6"/>
      <c r="M881" s="6"/>
      <c r="N881" s="6"/>
      <c r="O881" s="6"/>
      <c r="P881" s="6"/>
      <c r="Q881" s="6"/>
      <c r="R881" s="6"/>
      <c r="S881" s="6"/>
      <c r="T881" s="6"/>
      <c r="U881" s="6"/>
      <c r="V881" s="6"/>
      <c r="W881" s="6"/>
      <c r="X881" s="6"/>
      <c r="Y881" s="6"/>
      <c r="Z881" s="6"/>
    </row>
    <row r="882">
      <c r="A882" s="9"/>
      <c r="B882" s="9"/>
      <c r="C882" s="9"/>
      <c r="D882" s="6"/>
      <c r="E882" s="9"/>
      <c r="F882" s="6"/>
      <c r="G882" s="6"/>
      <c r="H882" s="6"/>
      <c r="I882" s="6"/>
      <c r="J882" s="6"/>
      <c r="K882" s="6"/>
      <c r="L882" s="6"/>
      <c r="M882" s="6"/>
      <c r="N882" s="6"/>
      <c r="O882" s="6"/>
      <c r="P882" s="6"/>
      <c r="Q882" s="6"/>
      <c r="R882" s="6"/>
      <c r="S882" s="6"/>
      <c r="T882" s="6"/>
      <c r="U882" s="6"/>
      <c r="V882" s="6"/>
      <c r="W882" s="6"/>
      <c r="X882" s="6"/>
      <c r="Y882" s="6"/>
      <c r="Z882" s="6"/>
    </row>
    <row r="883">
      <c r="A883" s="9"/>
      <c r="B883" s="9"/>
      <c r="C883" s="9"/>
      <c r="D883" s="6"/>
      <c r="E883" s="9"/>
      <c r="F883" s="6"/>
      <c r="G883" s="6"/>
      <c r="H883" s="6"/>
      <c r="I883" s="6"/>
      <c r="J883" s="6"/>
      <c r="K883" s="6"/>
      <c r="L883" s="6"/>
      <c r="M883" s="6"/>
      <c r="N883" s="6"/>
      <c r="O883" s="6"/>
      <c r="P883" s="6"/>
      <c r="Q883" s="6"/>
      <c r="R883" s="6"/>
      <c r="S883" s="6"/>
      <c r="T883" s="6"/>
      <c r="U883" s="6"/>
      <c r="V883" s="6"/>
      <c r="W883" s="6"/>
      <c r="X883" s="6"/>
      <c r="Y883" s="6"/>
      <c r="Z883" s="6"/>
    </row>
    <row r="884">
      <c r="A884" s="9"/>
      <c r="B884" s="9"/>
      <c r="C884" s="9"/>
      <c r="D884" s="6"/>
      <c r="E884" s="9"/>
      <c r="F884" s="6"/>
      <c r="G884" s="6"/>
      <c r="H884" s="6"/>
      <c r="I884" s="6"/>
      <c r="J884" s="6"/>
      <c r="K884" s="6"/>
      <c r="L884" s="6"/>
      <c r="M884" s="6"/>
      <c r="N884" s="6"/>
      <c r="O884" s="6"/>
      <c r="P884" s="6"/>
      <c r="Q884" s="6"/>
      <c r="R884" s="6"/>
      <c r="S884" s="6"/>
      <c r="T884" s="6"/>
      <c r="U884" s="6"/>
      <c r="V884" s="6"/>
      <c r="W884" s="6"/>
      <c r="X884" s="6"/>
      <c r="Y884" s="6"/>
      <c r="Z884" s="6"/>
    </row>
    <row r="885">
      <c r="A885" s="9"/>
      <c r="B885" s="9"/>
      <c r="C885" s="9"/>
      <c r="D885" s="6"/>
      <c r="E885" s="9"/>
      <c r="F885" s="6"/>
      <c r="G885" s="6"/>
      <c r="H885" s="6"/>
      <c r="I885" s="6"/>
      <c r="J885" s="6"/>
      <c r="K885" s="6"/>
      <c r="L885" s="6"/>
      <c r="M885" s="6"/>
      <c r="N885" s="6"/>
      <c r="O885" s="6"/>
      <c r="P885" s="6"/>
      <c r="Q885" s="6"/>
      <c r="R885" s="6"/>
      <c r="S885" s="6"/>
      <c r="T885" s="6"/>
      <c r="U885" s="6"/>
      <c r="V885" s="6"/>
      <c r="W885" s="6"/>
      <c r="X885" s="6"/>
      <c r="Y885" s="6"/>
      <c r="Z885" s="6"/>
    </row>
    <row r="886">
      <c r="A886" s="9"/>
      <c r="B886" s="9"/>
      <c r="C886" s="9"/>
      <c r="D886" s="6"/>
      <c r="E886" s="9"/>
      <c r="F886" s="6"/>
      <c r="G886" s="6"/>
      <c r="H886" s="6"/>
      <c r="I886" s="6"/>
      <c r="J886" s="6"/>
      <c r="K886" s="6"/>
      <c r="L886" s="6"/>
      <c r="M886" s="6"/>
      <c r="N886" s="6"/>
      <c r="O886" s="6"/>
      <c r="P886" s="6"/>
      <c r="Q886" s="6"/>
      <c r="R886" s="6"/>
      <c r="S886" s="6"/>
      <c r="T886" s="6"/>
      <c r="U886" s="6"/>
      <c r="V886" s="6"/>
      <c r="W886" s="6"/>
      <c r="X886" s="6"/>
      <c r="Y886" s="6"/>
      <c r="Z886" s="6"/>
    </row>
    <row r="887">
      <c r="A887" s="9"/>
      <c r="B887" s="9"/>
      <c r="C887" s="9"/>
      <c r="D887" s="6"/>
      <c r="E887" s="9"/>
      <c r="F887" s="6"/>
      <c r="G887" s="6"/>
      <c r="H887" s="6"/>
      <c r="I887" s="6"/>
      <c r="J887" s="6"/>
      <c r="K887" s="6"/>
      <c r="L887" s="6"/>
      <c r="M887" s="6"/>
      <c r="N887" s="6"/>
      <c r="O887" s="6"/>
      <c r="P887" s="6"/>
      <c r="Q887" s="6"/>
      <c r="R887" s="6"/>
      <c r="S887" s="6"/>
      <c r="T887" s="6"/>
      <c r="U887" s="6"/>
      <c r="V887" s="6"/>
      <c r="W887" s="6"/>
      <c r="X887" s="6"/>
      <c r="Y887" s="6"/>
      <c r="Z887" s="6"/>
    </row>
    <row r="888">
      <c r="A888" s="9"/>
      <c r="B888" s="9"/>
      <c r="C888" s="9"/>
      <c r="D888" s="6"/>
      <c r="E888" s="9"/>
      <c r="F888" s="6"/>
      <c r="G888" s="6"/>
      <c r="H888" s="6"/>
      <c r="I888" s="6"/>
      <c r="J888" s="6"/>
      <c r="K888" s="6"/>
      <c r="L888" s="6"/>
      <c r="M888" s="6"/>
      <c r="N888" s="6"/>
      <c r="O888" s="6"/>
      <c r="P888" s="6"/>
      <c r="Q888" s="6"/>
      <c r="R888" s="6"/>
      <c r="S888" s="6"/>
      <c r="T888" s="6"/>
      <c r="U888" s="6"/>
      <c r="V888" s="6"/>
      <c r="W888" s="6"/>
      <c r="X888" s="6"/>
      <c r="Y888" s="6"/>
      <c r="Z888" s="6"/>
    </row>
    <row r="889">
      <c r="A889" s="9"/>
      <c r="B889" s="9"/>
      <c r="C889" s="9"/>
      <c r="D889" s="6"/>
      <c r="E889" s="9"/>
      <c r="F889" s="6"/>
      <c r="G889" s="6"/>
      <c r="H889" s="6"/>
      <c r="I889" s="6"/>
      <c r="J889" s="6"/>
      <c r="K889" s="6"/>
      <c r="L889" s="6"/>
      <c r="M889" s="6"/>
      <c r="N889" s="6"/>
      <c r="O889" s="6"/>
      <c r="P889" s="6"/>
      <c r="Q889" s="6"/>
      <c r="R889" s="6"/>
      <c r="S889" s="6"/>
      <c r="T889" s="6"/>
      <c r="U889" s="6"/>
      <c r="V889" s="6"/>
      <c r="W889" s="6"/>
      <c r="X889" s="6"/>
      <c r="Y889" s="6"/>
      <c r="Z889" s="6"/>
    </row>
    <row r="890">
      <c r="A890" s="9"/>
      <c r="B890" s="9"/>
      <c r="C890" s="9"/>
      <c r="D890" s="6"/>
      <c r="E890" s="9"/>
      <c r="F890" s="6"/>
      <c r="G890" s="6"/>
      <c r="H890" s="6"/>
      <c r="I890" s="6"/>
      <c r="J890" s="6"/>
      <c r="K890" s="6"/>
      <c r="L890" s="6"/>
      <c r="M890" s="6"/>
      <c r="N890" s="6"/>
      <c r="O890" s="6"/>
      <c r="P890" s="6"/>
      <c r="Q890" s="6"/>
      <c r="R890" s="6"/>
      <c r="S890" s="6"/>
      <c r="T890" s="6"/>
      <c r="U890" s="6"/>
      <c r="V890" s="6"/>
      <c r="W890" s="6"/>
      <c r="X890" s="6"/>
      <c r="Y890" s="6"/>
      <c r="Z890" s="6"/>
    </row>
    <row r="891">
      <c r="A891" s="9"/>
      <c r="B891" s="9"/>
      <c r="C891" s="9"/>
      <c r="D891" s="6"/>
      <c r="E891" s="9"/>
      <c r="F891" s="6"/>
      <c r="G891" s="6"/>
      <c r="H891" s="6"/>
      <c r="I891" s="6"/>
      <c r="J891" s="6"/>
      <c r="K891" s="6"/>
      <c r="L891" s="6"/>
      <c r="M891" s="6"/>
      <c r="N891" s="6"/>
      <c r="O891" s="6"/>
      <c r="P891" s="6"/>
      <c r="Q891" s="6"/>
      <c r="R891" s="6"/>
      <c r="S891" s="6"/>
      <c r="T891" s="6"/>
      <c r="U891" s="6"/>
      <c r="V891" s="6"/>
      <c r="W891" s="6"/>
      <c r="X891" s="6"/>
      <c r="Y891" s="6"/>
      <c r="Z891" s="6"/>
    </row>
    <row r="892">
      <c r="A892" s="9"/>
      <c r="B892" s="9"/>
      <c r="C892" s="9"/>
      <c r="D892" s="6"/>
      <c r="E892" s="9"/>
      <c r="F892" s="6"/>
      <c r="G892" s="6"/>
      <c r="H892" s="6"/>
      <c r="I892" s="6"/>
      <c r="J892" s="6"/>
      <c r="K892" s="6"/>
      <c r="L892" s="6"/>
      <c r="M892" s="6"/>
      <c r="N892" s="6"/>
      <c r="O892" s="6"/>
      <c r="P892" s="6"/>
      <c r="Q892" s="6"/>
      <c r="R892" s="6"/>
      <c r="S892" s="6"/>
      <c r="T892" s="6"/>
      <c r="U892" s="6"/>
      <c r="V892" s="6"/>
      <c r="W892" s="6"/>
      <c r="X892" s="6"/>
      <c r="Y892" s="6"/>
      <c r="Z892" s="6"/>
    </row>
    <row r="893">
      <c r="A893" s="9"/>
      <c r="B893" s="9"/>
      <c r="C893" s="9"/>
      <c r="D893" s="6"/>
      <c r="E893" s="9"/>
      <c r="F893" s="6"/>
      <c r="G893" s="6"/>
      <c r="H893" s="6"/>
      <c r="I893" s="6"/>
      <c r="J893" s="6"/>
      <c r="K893" s="6"/>
      <c r="L893" s="6"/>
      <c r="M893" s="6"/>
      <c r="N893" s="6"/>
      <c r="O893" s="6"/>
      <c r="P893" s="6"/>
      <c r="Q893" s="6"/>
      <c r="R893" s="6"/>
      <c r="S893" s="6"/>
      <c r="T893" s="6"/>
      <c r="U893" s="6"/>
      <c r="V893" s="6"/>
      <c r="W893" s="6"/>
      <c r="X893" s="6"/>
      <c r="Y893" s="6"/>
      <c r="Z893" s="6"/>
    </row>
    <row r="894">
      <c r="A894" s="9"/>
      <c r="B894" s="9"/>
      <c r="C894" s="9"/>
      <c r="D894" s="6"/>
      <c r="E894" s="9"/>
      <c r="F894" s="6"/>
      <c r="G894" s="6"/>
      <c r="H894" s="6"/>
      <c r="I894" s="6"/>
      <c r="J894" s="6"/>
      <c r="K894" s="6"/>
      <c r="L894" s="6"/>
      <c r="M894" s="6"/>
      <c r="N894" s="6"/>
      <c r="O894" s="6"/>
      <c r="P894" s="6"/>
      <c r="Q894" s="6"/>
      <c r="R894" s="6"/>
      <c r="S894" s="6"/>
      <c r="T894" s="6"/>
      <c r="U894" s="6"/>
      <c r="V894" s="6"/>
      <c r="W894" s="6"/>
      <c r="X894" s="6"/>
      <c r="Y894" s="6"/>
      <c r="Z894" s="6"/>
    </row>
    <row r="895">
      <c r="A895" s="9"/>
      <c r="B895" s="9"/>
      <c r="C895" s="9"/>
      <c r="D895" s="6"/>
      <c r="E895" s="9"/>
      <c r="F895" s="6"/>
      <c r="G895" s="6"/>
      <c r="H895" s="6"/>
      <c r="I895" s="6"/>
      <c r="J895" s="6"/>
      <c r="K895" s="6"/>
      <c r="L895" s="6"/>
      <c r="M895" s="6"/>
      <c r="N895" s="6"/>
      <c r="O895" s="6"/>
      <c r="P895" s="6"/>
      <c r="Q895" s="6"/>
      <c r="R895" s="6"/>
      <c r="S895" s="6"/>
      <c r="T895" s="6"/>
      <c r="U895" s="6"/>
      <c r="V895" s="6"/>
      <c r="W895" s="6"/>
      <c r="X895" s="6"/>
      <c r="Y895" s="6"/>
      <c r="Z895" s="6"/>
    </row>
    <row r="896">
      <c r="A896" s="9"/>
      <c r="B896" s="9"/>
      <c r="C896" s="9"/>
      <c r="D896" s="6"/>
      <c r="E896" s="9"/>
      <c r="F896" s="6"/>
      <c r="G896" s="6"/>
      <c r="H896" s="6"/>
      <c r="I896" s="6"/>
      <c r="J896" s="6"/>
      <c r="K896" s="6"/>
      <c r="L896" s="6"/>
      <c r="M896" s="6"/>
      <c r="N896" s="6"/>
      <c r="O896" s="6"/>
      <c r="P896" s="6"/>
      <c r="Q896" s="6"/>
      <c r="R896" s="6"/>
      <c r="S896" s="6"/>
      <c r="T896" s="6"/>
      <c r="U896" s="6"/>
      <c r="V896" s="6"/>
      <c r="W896" s="6"/>
      <c r="X896" s="6"/>
      <c r="Y896" s="6"/>
      <c r="Z896" s="6"/>
    </row>
    <row r="897">
      <c r="A897" s="9"/>
      <c r="B897" s="9"/>
      <c r="C897" s="9"/>
      <c r="D897" s="6"/>
      <c r="E897" s="9"/>
      <c r="F897" s="6"/>
      <c r="G897" s="6"/>
      <c r="H897" s="6"/>
      <c r="I897" s="6"/>
      <c r="J897" s="6"/>
      <c r="K897" s="6"/>
      <c r="L897" s="6"/>
      <c r="M897" s="6"/>
      <c r="N897" s="6"/>
      <c r="O897" s="6"/>
      <c r="P897" s="6"/>
      <c r="Q897" s="6"/>
      <c r="R897" s="6"/>
      <c r="S897" s="6"/>
      <c r="T897" s="6"/>
      <c r="U897" s="6"/>
      <c r="V897" s="6"/>
      <c r="W897" s="6"/>
      <c r="X897" s="6"/>
      <c r="Y897" s="6"/>
      <c r="Z897" s="6"/>
    </row>
    <row r="898">
      <c r="A898" s="9"/>
      <c r="B898" s="9"/>
      <c r="C898" s="9"/>
      <c r="D898" s="6"/>
      <c r="E898" s="9"/>
      <c r="F898" s="6"/>
      <c r="G898" s="6"/>
      <c r="H898" s="6"/>
      <c r="I898" s="6"/>
      <c r="J898" s="6"/>
      <c r="K898" s="6"/>
      <c r="L898" s="6"/>
      <c r="M898" s="6"/>
      <c r="N898" s="6"/>
      <c r="O898" s="6"/>
      <c r="P898" s="6"/>
      <c r="Q898" s="6"/>
      <c r="R898" s="6"/>
      <c r="S898" s="6"/>
      <c r="T898" s="6"/>
      <c r="U898" s="6"/>
      <c r="V898" s="6"/>
      <c r="W898" s="6"/>
      <c r="X898" s="6"/>
      <c r="Y898" s="6"/>
      <c r="Z898" s="6"/>
    </row>
    <row r="899">
      <c r="A899" s="9"/>
      <c r="B899" s="9"/>
      <c r="C899" s="9"/>
      <c r="D899" s="6"/>
      <c r="E899" s="9"/>
      <c r="F899" s="6"/>
      <c r="G899" s="6"/>
      <c r="H899" s="6"/>
      <c r="I899" s="6"/>
      <c r="J899" s="6"/>
      <c r="K899" s="6"/>
      <c r="L899" s="6"/>
      <c r="M899" s="6"/>
      <c r="N899" s="6"/>
      <c r="O899" s="6"/>
      <c r="P899" s="6"/>
      <c r="Q899" s="6"/>
      <c r="R899" s="6"/>
      <c r="S899" s="6"/>
      <c r="T899" s="6"/>
      <c r="U899" s="6"/>
      <c r="V899" s="6"/>
      <c r="W899" s="6"/>
      <c r="X899" s="6"/>
      <c r="Y899" s="6"/>
      <c r="Z899" s="6"/>
    </row>
    <row r="900">
      <c r="A900" s="9"/>
      <c r="B900" s="9"/>
      <c r="C900" s="9"/>
      <c r="D900" s="6"/>
      <c r="E900" s="9"/>
      <c r="F900" s="6"/>
      <c r="G900" s="6"/>
      <c r="H900" s="6"/>
      <c r="I900" s="6"/>
      <c r="J900" s="6"/>
      <c r="K900" s="6"/>
      <c r="L900" s="6"/>
      <c r="M900" s="6"/>
      <c r="N900" s="6"/>
      <c r="O900" s="6"/>
      <c r="P900" s="6"/>
      <c r="Q900" s="6"/>
      <c r="R900" s="6"/>
      <c r="S900" s="6"/>
      <c r="T900" s="6"/>
      <c r="U900" s="6"/>
      <c r="V900" s="6"/>
      <c r="W900" s="6"/>
      <c r="X900" s="6"/>
      <c r="Y900" s="6"/>
      <c r="Z900" s="6"/>
    </row>
    <row r="901">
      <c r="A901" s="9"/>
      <c r="B901" s="9"/>
      <c r="C901" s="9"/>
      <c r="D901" s="6"/>
      <c r="E901" s="9"/>
      <c r="F901" s="6"/>
      <c r="G901" s="6"/>
      <c r="H901" s="6"/>
      <c r="I901" s="6"/>
      <c r="J901" s="6"/>
      <c r="K901" s="6"/>
      <c r="L901" s="6"/>
      <c r="M901" s="6"/>
      <c r="N901" s="6"/>
      <c r="O901" s="6"/>
      <c r="P901" s="6"/>
      <c r="Q901" s="6"/>
      <c r="R901" s="6"/>
      <c r="S901" s="6"/>
      <c r="T901" s="6"/>
      <c r="U901" s="6"/>
      <c r="V901" s="6"/>
      <c r="W901" s="6"/>
      <c r="X901" s="6"/>
      <c r="Y901" s="6"/>
      <c r="Z901" s="6"/>
    </row>
    <row r="902">
      <c r="A902" s="9"/>
      <c r="B902" s="9"/>
      <c r="C902" s="9"/>
      <c r="D902" s="6"/>
      <c r="E902" s="9"/>
      <c r="F902" s="6"/>
      <c r="G902" s="6"/>
      <c r="H902" s="6"/>
      <c r="I902" s="6"/>
      <c r="J902" s="6"/>
      <c r="K902" s="6"/>
      <c r="L902" s="6"/>
      <c r="M902" s="6"/>
      <c r="N902" s="6"/>
      <c r="O902" s="6"/>
      <c r="P902" s="6"/>
      <c r="Q902" s="6"/>
      <c r="R902" s="6"/>
      <c r="S902" s="6"/>
      <c r="T902" s="6"/>
      <c r="U902" s="6"/>
      <c r="V902" s="6"/>
      <c r="W902" s="6"/>
      <c r="X902" s="6"/>
      <c r="Y902" s="6"/>
      <c r="Z902" s="6"/>
    </row>
    <row r="903">
      <c r="A903" s="9"/>
      <c r="B903" s="9"/>
      <c r="C903" s="9"/>
      <c r="D903" s="6"/>
      <c r="E903" s="9"/>
      <c r="F903" s="6"/>
      <c r="G903" s="6"/>
      <c r="H903" s="6"/>
      <c r="I903" s="6"/>
      <c r="J903" s="6"/>
      <c r="K903" s="6"/>
      <c r="L903" s="6"/>
      <c r="M903" s="6"/>
      <c r="N903" s="6"/>
      <c r="O903" s="6"/>
      <c r="P903" s="6"/>
      <c r="Q903" s="6"/>
      <c r="R903" s="6"/>
      <c r="S903" s="6"/>
      <c r="T903" s="6"/>
      <c r="U903" s="6"/>
      <c r="V903" s="6"/>
      <c r="W903" s="6"/>
      <c r="X903" s="6"/>
      <c r="Y903" s="6"/>
      <c r="Z903" s="6"/>
    </row>
    <row r="904">
      <c r="A904" s="9"/>
      <c r="B904" s="9"/>
      <c r="C904" s="9"/>
      <c r="D904" s="6"/>
      <c r="E904" s="9"/>
      <c r="F904" s="6"/>
      <c r="G904" s="6"/>
      <c r="H904" s="6"/>
      <c r="I904" s="6"/>
      <c r="J904" s="6"/>
      <c r="K904" s="6"/>
      <c r="L904" s="6"/>
      <c r="M904" s="6"/>
      <c r="N904" s="6"/>
      <c r="O904" s="6"/>
      <c r="P904" s="6"/>
      <c r="Q904" s="6"/>
      <c r="R904" s="6"/>
      <c r="S904" s="6"/>
      <c r="T904" s="6"/>
      <c r="U904" s="6"/>
      <c r="V904" s="6"/>
      <c r="W904" s="6"/>
      <c r="X904" s="6"/>
      <c r="Y904" s="6"/>
      <c r="Z904" s="6"/>
    </row>
    <row r="905">
      <c r="A905" s="9"/>
      <c r="B905" s="9"/>
      <c r="C905" s="9"/>
      <c r="D905" s="6"/>
      <c r="E905" s="9"/>
      <c r="F905" s="6"/>
      <c r="G905" s="6"/>
      <c r="H905" s="6"/>
      <c r="I905" s="6"/>
      <c r="J905" s="6"/>
      <c r="K905" s="6"/>
      <c r="L905" s="6"/>
      <c r="M905" s="6"/>
      <c r="N905" s="6"/>
      <c r="O905" s="6"/>
      <c r="P905" s="6"/>
      <c r="Q905" s="6"/>
      <c r="R905" s="6"/>
      <c r="S905" s="6"/>
      <c r="T905" s="6"/>
      <c r="U905" s="6"/>
      <c r="V905" s="6"/>
      <c r="W905" s="6"/>
      <c r="X905" s="6"/>
      <c r="Y905" s="6"/>
      <c r="Z905" s="6"/>
    </row>
    <row r="906">
      <c r="A906" s="9"/>
      <c r="B906" s="9"/>
      <c r="C906" s="9"/>
      <c r="D906" s="6"/>
      <c r="E906" s="9"/>
      <c r="F906" s="6"/>
      <c r="G906" s="6"/>
      <c r="H906" s="6"/>
      <c r="I906" s="6"/>
      <c r="J906" s="6"/>
      <c r="K906" s="6"/>
      <c r="L906" s="6"/>
      <c r="M906" s="6"/>
      <c r="N906" s="6"/>
      <c r="O906" s="6"/>
      <c r="P906" s="6"/>
      <c r="Q906" s="6"/>
      <c r="R906" s="6"/>
      <c r="S906" s="6"/>
      <c r="T906" s="6"/>
      <c r="U906" s="6"/>
      <c r="V906" s="6"/>
      <c r="W906" s="6"/>
      <c r="X906" s="6"/>
      <c r="Y906" s="6"/>
      <c r="Z906" s="6"/>
    </row>
    <row r="907">
      <c r="A907" s="9"/>
      <c r="B907" s="9"/>
      <c r="C907" s="9"/>
      <c r="D907" s="6"/>
      <c r="E907" s="9"/>
      <c r="F907" s="6"/>
      <c r="G907" s="6"/>
      <c r="H907" s="6"/>
      <c r="I907" s="6"/>
      <c r="J907" s="6"/>
      <c r="K907" s="6"/>
      <c r="L907" s="6"/>
      <c r="M907" s="6"/>
      <c r="N907" s="6"/>
      <c r="O907" s="6"/>
      <c r="P907" s="6"/>
      <c r="Q907" s="6"/>
      <c r="R907" s="6"/>
      <c r="S907" s="6"/>
      <c r="T907" s="6"/>
      <c r="U907" s="6"/>
      <c r="V907" s="6"/>
      <c r="W907" s="6"/>
      <c r="X907" s="6"/>
      <c r="Y907" s="6"/>
      <c r="Z907" s="6"/>
    </row>
    <row r="908">
      <c r="A908" s="9"/>
      <c r="B908" s="9"/>
      <c r="C908" s="9"/>
      <c r="D908" s="6"/>
      <c r="E908" s="9"/>
      <c r="F908" s="6"/>
      <c r="G908" s="6"/>
      <c r="H908" s="6"/>
      <c r="I908" s="6"/>
      <c r="J908" s="6"/>
      <c r="K908" s="6"/>
      <c r="L908" s="6"/>
      <c r="M908" s="6"/>
      <c r="N908" s="6"/>
      <c r="O908" s="6"/>
      <c r="P908" s="6"/>
      <c r="Q908" s="6"/>
      <c r="R908" s="6"/>
      <c r="S908" s="6"/>
      <c r="T908" s="6"/>
      <c r="U908" s="6"/>
      <c r="V908" s="6"/>
      <c r="W908" s="6"/>
      <c r="X908" s="6"/>
      <c r="Y908" s="6"/>
      <c r="Z908" s="6"/>
    </row>
    <row r="909">
      <c r="A909" s="9"/>
      <c r="B909" s="9"/>
      <c r="C909" s="9"/>
      <c r="D909" s="6"/>
      <c r="E909" s="9"/>
      <c r="F909" s="6"/>
      <c r="G909" s="6"/>
      <c r="H909" s="6"/>
      <c r="I909" s="6"/>
      <c r="J909" s="6"/>
      <c r="K909" s="6"/>
      <c r="L909" s="6"/>
      <c r="M909" s="6"/>
      <c r="N909" s="6"/>
      <c r="O909" s="6"/>
      <c r="P909" s="6"/>
      <c r="Q909" s="6"/>
      <c r="R909" s="6"/>
      <c r="S909" s="6"/>
      <c r="T909" s="6"/>
      <c r="U909" s="6"/>
      <c r="V909" s="6"/>
      <c r="W909" s="6"/>
      <c r="X909" s="6"/>
      <c r="Y909" s="6"/>
      <c r="Z909" s="6"/>
    </row>
    <row r="910">
      <c r="A910" s="9"/>
      <c r="B910" s="9"/>
      <c r="C910" s="9"/>
      <c r="D910" s="6"/>
      <c r="E910" s="9"/>
      <c r="F910" s="6"/>
      <c r="G910" s="6"/>
      <c r="H910" s="6"/>
      <c r="I910" s="6"/>
      <c r="J910" s="6"/>
      <c r="K910" s="6"/>
      <c r="L910" s="6"/>
      <c r="M910" s="6"/>
      <c r="N910" s="6"/>
      <c r="O910" s="6"/>
      <c r="P910" s="6"/>
      <c r="Q910" s="6"/>
      <c r="R910" s="6"/>
      <c r="S910" s="6"/>
      <c r="T910" s="6"/>
      <c r="U910" s="6"/>
      <c r="V910" s="6"/>
      <c r="W910" s="6"/>
      <c r="X910" s="6"/>
      <c r="Y910" s="6"/>
      <c r="Z910" s="6"/>
    </row>
    <row r="911">
      <c r="A911" s="9"/>
      <c r="B911" s="9"/>
      <c r="C911" s="9"/>
      <c r="D911" s="6"/>
      <c r="E911" s="9"/>
      <c r="F911" s="6"/>
      <c r="G911" s="6"/>
      <c r="H911" s="6"/>
      <c r="I911" s="6"/>
      <c r="J911" s="6"/>
      <c r="K911" s="6"/>
      <c r="L911" s="6"/>
      <c r="M911" s="6"/>
      <c r="N911" s="6"/>
      <c r="O911" s="6"/>
      <c r="P911" s="6"/>
      <c r="Q911" s="6"/>
      <c r="R911" s="6"/>
      <c r="S911" s="6"/>
      <c r="T911" s="6"/>
      <c r="U911" s="6"/>
      <c r="V911" s="6"/>
      <c r="W911" s="6"/>
      <c r="X911" s="6"/>
      <c r="Y911" s="6"/>
      <c r="Z911" s="6"/>
    </row>
    <row r="912">
      <c r="A912" s="9"/>
      <c r="B912" s="9"/>
      <c r="C912" s="9"/>
      <c r="D912" s="6"/>
      <c r="E912" s="9"/>
      <c r="F912" s="6"/>
      <c r="G912" s="6"/>
      <c r="H912" s="6"/>
      <c r="I912" s="6"/>
      <c r="J912" s="6"/>
      <c r="K912" s="6"/>
      <c r="L912" s="6"/>
      <c r="M912" s="6"/>
      <c r="N912" s="6"/>
      <c r="O912" s="6"/>
      <c r="P912" s="6"/>
      <c r="Q912" s="6"/>
      <c r="R912" s="6"/>
      <c r="S912" s="6"/>
      <c r="T912" s="6"/>
      <c r="U912" s="6"/>
      <c r="V912" s="6"/>
      <c r="W912" s="6"/>
      <c r="X912" s="6"/>
      <c r="Y912" s="6"/>
      <c r="Z912" s="6"/>
    </row>
    <row r="913">
      <c r="A913" s="9"/>
      <c r="B913" s="9"/>
      <c r="C913" s="9"/>
      <c r="D913" s="6"/>
      <c r="E913" s="9"/>
      <c r="F913" s="6"/>
      <c r="G913" s="6"/>
      <c r="H913" s="6"/>
      <c r="I913" s="6"/>
      <c r="J913" s="6"/>
      <c r="K913" s="6"/>
      <c r="L913" s="6"/>
      <c r="M913" s="6"/>
      <c r="N913" s="6"/>
      <c r="O913" s="6"/>
      <c r="P913" s="6"/>
      <c r="Q913" s="6"/>
      <c r="R913" s="6"/>
      <c r="S913" s="6"/>
      <c r="T913" s="6"/>
      <c r="U913" s="6"/>
      <c r="V913" s="6"/>
      <c r="W913" s="6"/>
      <c r="X913" s="6"/>
      <c r="Y913" s="6"/>
      <c r="Z913" s="6"/>
    </row>
    <row r="914">
      <c r="A914" s="9"/>
      <c r="B914" s="9"/>
      <c r="C914" s="9"/>
      <c r="D914" s="6"/>
      <c r="E914" s="9"/>
      <c r="F914" s="6"/>
      <c r="G914" s="6"/>
      <c r="H914" s="6"/>
      <c r="I914" s="6"/>
      <c r="J914" s="6"/>
      <c r="K914" s="6"/>
      <c r="L914" s="6"/>
      <c r="M914" s="6"/>
      <c r="N914" s="6"/>
      <c r="O914" s="6"/>
      <c r="P914" s="6"/>
      <c r="Q914" s="6"/>
      <c r="R914" s="6"/>
      <c r="S914" s="6"/>
      <c r="T914" s="6"/>
      <c r="U914" s="6"/>
      <c r="V914" s="6"/>
      <c r="W914" s="6"/>
      <c r="X914" s="6"/>
      <c r="Y914" s="6"/>
      <c r="Z914" s="6"/>
    </row>
    <row r="915">
      <c r="A915" s="9"/>
      <c r="B915" s="9"/>
      <c r="C915" s="9"/>
      <c r="D915" s="6"/>
      <c r="E915" s="9"/>
      <c r="F915" s="6"/>
      <c r="G915" s="6"/>
      <c r="H915" s="6"/>
      <c r="I915" s="6"/>
      <c r="J915" s="6"/>
      <c r="K915" s="6"/>
      <c r="L915" s="6"/>
      <c r="M915" s="6"/>
      <c r="N915" s="6"/>
      <c r="O915" s="6"/>
      <c r="P915" s="6"/>
      <c r="Q915" s="6"/>
      <c r="R915" s="6"/>
      <c r="S915" s="6"/>
      <c r="T915" s="6"/>
      <c r="U915" s="6"/>
      <c r="V915" s="6"/>
      <c r="W915" s="6"/>
      <c r="X915" s="6"/>
      <c r="Y915" s="6"/>
      <c r="Z915" s="6"/>
    </row>
    <row r="916">
      <c r="A916" s="9"/>
      <c r="B916" s="9"/>
      <c r="C916" s="9"/>
      <c r="D916" s="6"/>
      <c r="E916" s="9"/>
      <c r="F916" s="6"/>
      <c r="G916" s="6"/>
      <c r="H916" s="6"/>
      <c r="I916" s="6"/>
      <c r="J916" s="6"/>
      <c r="K916" s="6"/>
      <c r="L916" s="6"/>
      <c r="M916" s="6"/>
      <c r="N916" s="6"/>
      <c r="O916" s="6"/>
      <c r="P916" s="6"/>
      <c r="Q916" s="6"/>
      <c r="R916" s="6"/>
      <c r="S916" s="6"/>
      <c r="T916" s="6"/>
      <c r="U916" s="6"/>
      <c r="V916" s="6"/>
      <c r="W916" s="6"/>
      <c r="X916" s="6"/>
      <c r="Y916" s="6"/>
      <c r="Z916" s="6"/>
    </row>
    <row r="917">
      <c r="A917" s="9"/>
      <c r="B917" s="9"/>
      <c r="C917" s="9"/>
      <c r="D917" s="6"/>
      <c r="E917" s="9"/>
      <c r="F917" s="6"/>
      <c r="G917" s="6"/>
      <c r="H917" s="6"/>
      <c r="I917" s="6"/>
      <c r="J917" s="6"/>
      <c r="K917" s="6"/>
      <c r="L917" s="6"/>
      <c r="M917" s="6"/>
      <c r="N917" s="6"/>
      <c r="O917" s="6"/>
      <c r="P917" s="6"/>
      <c r="Q917" s="6"/>
      <c r="R917" s="6"/>
      <c r="S917" s="6"/>
      <c r="T917" s="6"/>
      <c r="U917" s="6"/>
      <c r="V917" s="6"/>
      <c r="W917" s="6"/>
      <c r="X917" s="6"/>
      <c r="Y917" s="6"/>
      <c r="Z917" s="6"/>
    </row>
    <row r="918">
      <c r="A918" s="9"/>
      <c r="B918" s="9"/>
      <c r="C918" s="9"/>
      <c r="D918" s="6"/>
      <c r="E918" s="9"/>
      <c r="F918" s="6"/>
      <c r="G918" s="6"/>
      <c r="H918" s="6"/>
      <c r="I918" s="6"/>
      <c r="J918" s="6"/>
      <c r="K918" s="6"/>
      <c r="L918" s="6"/>
      <c r="M918" s="6"/>
      <c r="N918" s="6"/>
      <c r="O918" s="6"/>
      <c r="P918" s="6"/>
      <c r="Q918" s="6"/>
      <c r="R918" s="6"/>
      <c r="S918" s="6"/>
      <c r="T918" s="6"/>
      <c r="U918" s="6"/>
      <c r="V918" s="6"/>
      <c r="W918" s="6"/>
      <c r="X918" s="6"/>
      <c r="Y918" s="6"/>
      <c r="Z918" s="6"/>
    </row>
    <row r="919">
      <c r="A919" s="9"/>
      <c r="B919" s="9"/>
      <c r="C919" s="9"/>
      <c r="D919" s="6"/>
      <c r="E919" s="9"/>
      <c r="F919" s="6"/>
      <c r="G919" s="6"/>
      <c r="H919" s="6"/>
      <c r="I919" s="6"/>
      <c r="J919" s="6"/>
      <c r="K919" s="6"/>
      <c r="L919" s="6"/>
      <c r="M919" s="6"/>
      <c r="N919" s="6"/>
      <c r="O919" s="6"/>
      <c r="P919" s="6"/>
      <c r="Q919" s="6"/>
      <c r="R919" s="6"/>
      <c r="S919" s="6"/>
      <c r="T919" s="6"/>
      <c r="U919" s="6"/>
      <c r="V919" s="6"/>
      <c r="W919" s="6"/>
      <c r="X919" s="6"/>
      <c r="Y919" s="6"/>
      <c r="Z919" s="6"/>
    </row>
    <row r="920">
      <c r="A920" s="9"/>
      <c r="B920" s="9"/>
      <c r="C920" s="9"/>
      <c r="D920" s="6"/>
      <c r="E920" s="9"/>
      <c r="F920" s="6"/>
      <c r="G920" s="6"/>
      <c r="H920" s="6"/>
      <c r="I920" s="6"/>
      <c r="J920" s="6"/>
      <c r="K920" s="6"/>
      <c r="L920" s="6"/>
      <c r="M920" s="6"/>
      <c r="N920" s="6"/>
      <c r="O920" s="6"/>
      <c r="P920" s="6"/>
      <c r="Q920" s="6"/>
      <c r="R920" s="6"/>
      <c r="S920" s="6"/>
      <c r="T920" s="6"/>
      <c r="U920" s="6"/>
      <c r="V920" s="6"/>
      <c r="W920" s="6"/>
      <c r="X920" s="6"/>
      <c r="Y920" s="6"/>
      <c r="Z920" s="6"/>
    </row>
    <row r="921">
      <c r="A921" s="9"/>
      <c r="B921" s="9"/>
      <c r="C921" s="9"/>
      <c r="D921" s="6"/>
      <c r="E921" s="9"/>
      <c r="F921" s="6"/>
      <c r="G921" s="6"/>
      <c r="H921" s="6"/>
      <c r="I921" s="6"/>
      <c r="J921" s="6"/>
      <c r="K921" s="6"/>
      <c r="L921" s="6"/>
      <c r="M921" s="6"/>
      <c r="N921" s="6"/>
      <c r="O921" s="6"/>
      <c r="P921" s="6"/>
      <c r="Q921" s="6"/>
      <c r="R921" s="6"/>
      <c r="S921" s="6"/>
      <c r="T921" s="6"/>
      <c r="U921" s="6"/>
      <c r="V921" s="6"/>
      <c r="W921" s="6"/>
      <c r="X921" s="6"/>
      <c r="Y921" s="6"/>
      <c r="Z921" s="6"/>
    </row>
    <row r="922">
      <c r="A922" s="9"/>
      <c r="B922" s="9"/>
      <c r="C922" s="9"/>
      <c r="D922" s="6"/>
      <c r="E922" s="9"/>
      <c r="F922" s="6"/>
      <c r="G922" s="6"/>
      <c r="H922" s="6"/>
      <c r="I922" s="6"/>
      <c r="J922" s="6"/>
      <c r="K922" s="6"/>
      <c r="L922" s="6"/>
      <c r="M922" s="6"/>
      <c r="N922" s="6"/>
      <c r="O922" s="6"/>
      <c r="P922" s="6"/>
      <c r="Q922" s="6"/>
      <c r="R922" s="6"/>
      <c r="S922" s="6"/>
      <c r="T922" s="6"/>
      <c r="U922" s="6"/>
      <c r="V922" s="6"/>
      <c r="W922" s="6"/>
      <c r="X922" s="6"/>
      <c r="Y922" s="6"/>
      <c r="Z922" s="6"/>
    </row>
    <row r="923">
      <c r="A923" s="9"/>
      <c r="B923" s="9"/>
      <c r="C923" s="9"/>
      <c r="D923" s="6"/>
      <c r="E923" s="9"/>
      <c r="F923" s="6"/>
      <c r="G923" s="6"/>
      <c r="H923" s="6"/>
      <c r="I923" s="6"/>
      <c r="J923" s="6"/>
      <c r="K923" s="6"/>
      <c r="L923" s="6"/>
      <c r="M923" s="6"/>
      <c r="N923" s="6"/>
      <c r="O923" s="6"/>
      <c r="P923" s="6"/>
      <c r="Q923" s="6"/>
      <c r="R923" s="6"/>
      <c r="S923" s="6"/>
      <c r="T923" s="6"/>
      <c r="U923" s="6"/>
      <c r="V923" s="6"/>
      <c r="W923" s="6"/>
      <c r="X923" s="6"/>
      <c r="Y923" s="6"/>
      <c r="Z923" s="6"/>
    </row>
    <row r="924">
      <c r="A924" s="9"/>
      <c r="B924" s="9"/>
      <c r="C924" s="9"/>
      <c r="D924" s="6"/>
      <c r="E924" s="9"/>
      <c r="F924" s="6"/>
      <c r="G924" s="6"/>
      <c r="H924" s="6"/>
      <c r="I924" s="6"/>
      <c r="J924" s="6"/>
      <c r="K924" s="6"/>
      <c r="L924" s="6"/>
      <c r="M924" s="6"/>
      <c r="N924" s="6"/>
      <c r="O924" s="6"/>
      <c r="P924" s="6"/>
      <c r="Q924" s="6"/>
      <c r="R924" s="6"/>
      <c r="S924" s="6"/>
      <c r="T924" s="6"/>
      <c r="U924" s="6"/>
      <c r="V924" s="6"/>
      <c r="W924" s="6"/>
      <c r="X924" s="6"/>
      <c r="Y924" s="6"/>
      <c r="Z924" s="6"/>
    </row>
    <row r="925">
      <c r="A925" s="9"/>
      <c r="B925" s="9"/>
      <c r="C925" s="9"/>
      <c r="D925" s="6"/>
      <c r="E925" s="9"/>
      <c r="F925" s="6"/>
      <c r="G925" s="6"/>
      <c r="H925" s="6"/>
      <c r="I925" s="6"/>
      <c r="J925" s="6"/>
      <c r="K925" s="6"/>
      <c r="L925" s="6"/>
      <c r="M925" s="6"/>
      <c r="N925" s="6"/>
      <c r="O925" s="6"/>
      <c r="P925" s="6"/>
      <c r="Q925" s="6"/>
      <c r="R925" s="6"/>
      <c r="S925" s="6"/>
      <c r="T925" s="6"/>
      <c r="U925" s="6"/>
      <c r="V925" s="6"/>
      <c r="W925" s="6"/>
      <c r="X925" s="6"/>
      <c r="Y925" s="6"/>
      <c r="Z925" s="6"/>
    </row>
    <row r="926">
      <c r="A926" s="9"/>
      <c r="B926" s="9"/>
      <c r="C926" s="9"/>
      <c r="D926" s="6"/>
      <c r="E926" s="9"/>
      <c r="F926" s="6"/>
      <c r="G926" s="6"/>
      <c r="H926" s="6"/>
      <c r="I926" s="6"/>
      <c r="J926" s="6"/>
      <c r="K926" s="6"/>
      <c r="L926" s="6"/>
      <c r="M926" s="6"/>
      <c r="N926" s="6"/>
      <c r="O926" s="6"/>
      <c r="P926" s="6"/>
      <c r="Q926" s="6"/>
      <c r="R926" s="6"/>
      <c r="S926" s="6"/>
      <c r="T926" s="6"/>
      <c r="U926" s="6"/>
      <c r="V926" s="6"/>
      <c r="W926" s="6"/>
      <c r="X926" s="6"/>
      <c r="Y926" s="6"/>
      <c r="Z926" s="6"/>
    </row>
    <row r="927">
      <c r="A927" s="9"/>
      <c r="B927" s="9"/>
      <c r="C927" s="9"/>
      <c r="D927" s="6"/>
      <c r="E927" s="9"/>
      <c r="F927" s="6"/>
      <c r="G927" s="6"/>
      <c r="H927" s="6"/>
      <c r="I927" s="6"/>
      <c r="J927" s="6"/>
      <c r="K927" s="6"/>
      <c r="L927" s="6"/>
      <c r="M927" s="6"/>
      <c r="N927" s="6"/>
      <c r="O927" s="6"/>
      <c r="P927" s="6"/>
      <c r="Q927" s="6"/>
      <c r="R927" s="6"/>
      <c r="S927" s="6"/>
      <c r="T927" s="6"/>
      <c r="U927" s="6"/>
      <c r="V927" s="6"/>
      <c r="W927" s="6"/>
      <c r="X927" s="6"/>
      <c r="Y927" s="6"/>
      <c r="Z927" s="6"/>
    </row>
    <row r="928">
      <c r="A928" s="9"/>
      <c r="B928" s="9"/>
      <c r="C928" s="9"/>
      <c r="D928" s="6"/>
      <c r="E928" s="9"/>
      <c r="F928" s="6"/>
      <c r="G928" s="6"/>
      <c r="H928" s="6"/>
      <c r="I928" s="6"/>
      <c r="J928" s="6"/>
      <c r="K928" s="6"/>
      <c r="L928" s="6"/>
      <c r="M928" s="6"/>
      <c r="N928" s="6"/>
      <c r="O928" s="6"/>
      <c r="P928" s="6"/>
      <c r="Q928" s="6"/>
      <c r="R928" s="6"/>
      <c r="S928" s="6"/>
      <c r="T928" s="6"/>
      <c r="U928" s="6"/>
      <c r="V928" s="6"/>
      <c r="W928" s="6"/>
      <c r="X928" s="6"/>
      <c r="Y928" s="6"/>
      <c r="Z928" s="6"/>
    </row>
    <row r="929">
      <c r="A929" s="9"/>
      <c r="B929" s="9"/>
      <c r="C929" s="9"/>
      <c r="D929" s="6"/>
      <c r="E929" s="9"/>
      <c r="F929" s="6"/>
      <c r="G929" s="6"/>
      <c r="H929" s="6"/>
      <c r="I929" s="6"/>
      <c r="J929" s="6"/>
      <c r="K929" s="6"/>
      <c r="L929" s="6"/>
      <c r="M929" s="6"/>
      <c r="N929" s="6"/>
      <c r="O929" s="6"/>
      <c r="P929" s="6"/>
      <c r="Q929" s="6"/>
      <c r="R929" s="6"/>
      <c r="S929" s="6"/>
      <c r="T929" s="6"/>
      <c r="U929" s="6"/>
      <c r="V929" s="6"/>
      <c r="W929" s="6"/>
      <c r="X929" s="6"/>
      <c r="Y929" s="6"/>
      <c r="Z929" s="6"/>
    </row>
    <row r="930">
      <c r="A930" s="9"/>
      <c r="B930" s="9"/>
      <c r="C930" s="9"/>
      <c r="D930" s="6"/>
      <c r="E930" s="9"/>
      <c r="F930" s="6"/>
      <c r="G930" s="6"/>
      <c r="H930" s="6"/>
      <c r="I930" s="6"/>
      <c r="J930" s="6"/>
      <c r="K930" s="6"/>
      <c r="L930" s="6"/>
      <c r="M930" s="6"/>
      <c r="N930" s="6"/>
      <c r="O930" s="6"/>
      <c r="P930" s="6"/>
      <c r="Q930" s="6"/>
      <c r="R930" s="6"/>
      <c r="S930" s="6"/>
      <c r="T930" s="6"/>
      <c r="U930" s="6"/>
      <c r="V930" s="6"/>
      <c r="W930" s="6"/>
      <c r="X930" s="6"/>
      <c r="Y930" s="6"/>
      <c r="Z930" s="6"/>
    </row>
    <row r="931">
      <c r="A931" s="9"/>
      <c r="B931" s="9"/>
      <c r="C931" s="9"/>
      <c r="D931" s="6"/>
      <c r="E931" s="9"/>
      <c r="F931" s="6"/>
      <c r="G931" s="6"/>
      <c r="H931" s="6"/>
      <c r="I931" s="6"/>
      <c r="J931" s="6"/>
      <c r="K931" s="6"/>
      <c r="L931" s="6"/>
      <c r="M931" s="6"/>
      <c r="N931" s="6"/>
      <c r="O931" s="6"/>
      <c r="P931" s="6"/>
      <c r="Q931" s="6"/>
      <c r="R931" s="6"/>
      <c r="S931" s="6"/>
      <c r="T931" s="6"/>
      <c r="U931" s="6"/>
      <c r="V931" s="6"/>
      <c r="W931" s="6"/>
      <c r="X931" s="6"/>
      <c r="Y931" s="6"/>
      <c r="Z931" s="6"/>
    </row>
    <row r="932">
      <c r="A932" s="9"/>
      <c r="B932" s="9"/>
      <c r="C932" s="9"/>
      <c r="D932" s="6"/>
      <c r="E932" s="9"/>
      <c r="F932" s="6"/>
      <c r="G932" s="6"/>
      <c r="H932" s="6"/>
      <c r="I932" s="6"/>
      <c r="J932" s="6"/>
      <c r="K932" s="6"/>
      <c r="L932" s="6"/>
      <c r="M932" s="6"/>
      <c r="N932" s="6"/>
      <c r="O932" s="6"/>
      <c r="P932" s="6"/>
      <c r="Q932" s="6"/>
      <c r="R932" s="6"/>
      <c r="S932" s="6"/>
      <c r="T932" s="6"/>
      <c r="U932" s="6"/>
      <c r="V932" s="6"/>
      <c r="W932" s="6"/>
      <c r="X932" s="6"/>
      <c r="Y932" s="6"/>
      <c r="Z932" s="6"/>
    </row>
    <row r="933">
      <c r="A933" s="9"/>
      <c r="B933" s="9"/>
      <c r="C933" s="9"/>
      <c r="D933" s="6"/>
      <c r="E933" s="9"/>
      <c r="F933" s="6"/>
      <c r="G933" s="6"/>
      <c r="H933" s="6"/>
      <c r="I933" s="6"/>
      <c r="J933" s="6"/>
      <c r="K933" s="6"/>
      <c r="L933" s="6"/>
      <c r="M933" s="6"/>
      <c r="N933" s="6"/>
      <c r="O933" s="6"/>
      <c r="P933" s="6"/>
      <c r="Q933" s="6"/>
      <c r="R933" s="6"/>
      <c r="S933" s="6"/>
      <c r="T933" s="6"/>
      <c r="U933" s="6"/>
      <c r="V933" s="6"/>
      <c r="W933" s="6"/>
      <c r="X933" s="6"/>
      <c r="Y933" s="6"/>
      <c r="Z933" s="6"/>
    </row>
    <row r="934">
      <c r="A934" s="9"/>
      <c r="B934" s="9"/>
      <c r="C934" s="9"/>
      <c r="D934" s="6"/>
      <c r="E934" s="9"/>
      <c r="F934" s="6"/>
      <c r="G934" s="6"/>
      <c r="H934" s="6"/>
      <c r="I934" s="6"/>
      <c r="J934" s="6"/>
      <c r="K934" s="6"/>
      <c r="L934" s="6"/>
      <c r="M934" s="6"/>
      <c r="N934" s="6"/>
      <c r="O934" s="6"/>
      <c r="P934" s="6"/>
      <c r="Q934" s="6"/>
      <c r="R934" s="6"/>
      <c r="S934" s="6"/>
      <c r="T934" s="6"/>
      <c r="U934" s="6"/>
      <c r="V934" s="6"/>
      <c r="W934" s="6"/>
      <c r="X934" s="6"/>
      <c r="Y934" s="6"/>
      <c r="Z934" s="6"/>
    </row>
    <row r="935">
      <c r="A935" s="9"/>
      <c r="B935" s="9"/>
      <c r="C935" s="9"/>
      <c r="D935" s="6"/>
      <c r="E935" s="9"/>
      <c r="F935" s="6"/>
      <c r="G935" s="6"/>
      <c r="H935" s="6"/>
      <c r="I935" s="6"/>
      <c r="J935" s="6"/>
      <c r="K935" s="6"/>
      <c r="L935" s="6"/>
      <c r="M935" s="6"/>
      <c r="N935" s="6"/>
      <c r="O935" s="6"/>
      <c r="P935" s="6"/>
      <c r="Q935" s="6"/>
      <c r="R935" s="6"/>
      <c r="S935" s="6"/>
      <c r="T935" s="6"/>
      <c r="U935" s="6"/>
      <c r="V935" s="6"/>
      <c r="W935" s="6"/>
      <c r="X935" s="6"/>
      <c r="Y935" s="6"/>
      <c r="Z935" s="6"/>
    </row>
    <row r="936">
      <c r="A936" s="9"/>
      <c r="B936" s="9"/>
      <c r="C936" s="9"/>
      <c r="D936" s="6"/>
      <c r="E936" s="9"/>
      <c r="F936" s="6"/>
      <c r="G936" s="6"/>
      <c r="H936" s="6"/>
      <c r="I936" s="6"/>
      <c r="J936" s="6"/>
      <c r="K936" s="6"/>
      <c r="L936" s="6"/>
      <c r="M936" s="6"/>
      <c r="N936" s="6"/>
      <c r="O936" s="6"/>
      <c r="P936" s="6"/>
      <c r="Q936" s="6"/>
      <c r="R936" s="6"/>
      <c r="S936" s="6"/>
      <c r="T936" s="6"/>
      <c r="U936" s="6"/>
      <c r="V936" s="6"/>
      <c r="W936" s="6"/>
      <c r="X936" s="6"/>
      <c r="Y936" s="6"/>
      <c r="Z936" s="6"/>
    </row>
    <row r="937">
      <c r="A937" s="9"/>
      <c r="B937" s="9"/>
      <c r="C937" s="9"/>
      <c r="D937" s="6"/>
      <c r="E937" s="9"/>
      <c r="F937" s="6"/>
      <c r="G937" s="6"/>
      <c r="H937" s="6"/>
      <c r="I937" s="6"/>
      <c r="J937" s="6"/>
      <c r="K937" s="6"/>
      <c r="L937" s="6"/>
      <c r="M937" s="6"/>
      <c r="N937" s="6"/>
      <c r="O937" s="6"/>
      <c r="P937" s="6"/>
      <c r="Q937" s="6"/>
      <c r="R937" s="6"/>
      <c r="S937" s="6"/>
      <c r="T937" s="6"/>
      <c r="U937" s="6"/>
      <c r="V937" s="6"/>
      <c r="W937" s="6"/>
      <c r="X937" s="6"/>
      <c r="Y937" s="6"/>
      <c r="Z937" s="6"/>
    </row>
    <row r="938">
      <c r="A938" s="9"/>
      <c r="B938" s="9"/>
      <c r="C938" s="9"/>
      <c r="D938" s="6"/>
      <c r="E938" s="9"/>
      <c r="F938" s="6"/>
      <c r="G938" s="6"/>
      <c r="H938" s="6"/>
      <c r="I938" s="6"/>
      <c r="J938" s="6"/>
      <c r="K938" s="6"/>
      <c r="L938" s="6"/>
      <c r="M938" s="6"/>
      <c r="N938" s="6"/>
      <c r="O938" s="6"/>
      <c r="P938" s="6"/>
      <c r="Q938" s="6"/>
      <c r="R938" s="6"/>
      <c r="S938" s="6"/>
      <c r="T938" s="6"/>
      <c r="U938" s="6"/>
      <c r="V938" s="6"/>
      <c r="W938" s="6"/>
      <c r="X938" s="6"/>
      <c r="Y938" s="6"/>
      <c r="Z938" s="6"/>
    </row>
    <row r="939">
      <c r="A939" s="9"/>
      <c r="B939" s="9"/>
      <c r="C939" s="9"/>
      <c r="D939" s="6"/>
      <c r="E939" s="9"/>
      <c r="F939" s="6"/>
      <c r="G939" s="6"/>
      <c r="H939" s="6"/>
      <c r="I939" s="6"/>
      <c r="J939" s="6"/>
      <c r="K939" s="6"/>
      <c r="L939" s="6"/>
      <c r="M939" s="6"/>
      <c r="N939" s="6"/>
      <c r="O939" s="6"/>
      <c r="P939" s="6"/>
      <c r="Q939" s="6"/>
      <c r="R939" s="6"/>
      <c r="S939" s="6"/>
      <c r="T939" s="6"/>
      <c r="U939" s="6"/>
      <c r="V939" s="6"/>
      <c r="W939" s="6"/>
      <c r="X939" s="6"/>
      <c r="Y939" s="6"/>
      <c r="Z939" s="6"/>
    </row>
    <row r="940">
      <c r="A940" s="9"/>
      <c r="B940" s="9"/>
      <c r="C940" s="9"/>
      <c r="D940" s="6"/>
      <c r="E940" s="9"/>
      <c r="F940" s="6"/>
      <c r="G940" s="6"/>
      <c r="H940" s="6"/>
      <c r="I940" s="6"/>
      <c r="J940" s="6"/>
      <c r="K940" s="6"/>
      <c r="L940" s="6"/>
      <c r="M940" s="6"/>
      <c r="N940" s="6"/>
      <c r="O940" s="6"/>
      <c r="P940" s="6"/>
      <c r="Q940" s="6"/>
      <c r="R940" s="6"/>
      <c r="S940" s="6"/>
      <c r="T940" s="6"/>
      <c r="U940" s="6"/>
      <c r="V940" s="6"/>
      <c r="W940" s="6"/>
      <c r="X940" s="6"/>
      <c r="Y940" s="6"/>
      <c r="Z940" s="6"/>
    </row>
    <row r="941">
      <c r="A941" s="9"/>
      <c r="B941" s="9"/>
      <c r="C941" s="9"/>
      <c r="D941" s="6"/>
      <c r="E941" s="9"/>
      <c r="F941" s="6"/>
      <c r="G941" s="6"/>
      <c r="H941" s="6"/>
      <c r="I941" s="6"/>
      <c r="J941" s="6"/>
      <c r="K941" s="6"/>
      <c r="L941" s="6"/>
      <c r="M941" s="6"/>
      <c r="N941" s="6"/>
      <c r="O941" s="6"/>
      <c r="P941" s="6"/>
      <c r="Q941" s="6"/>
      <c r="R941" s="6"/>
      <c r="S941" s="6"/>
      <c r="T941" s="6"/>
      <c r="U941" s="6"/>
      <c r="V941" s="6"/>
      <c r="W941" s="6"/>
      <c r="X941" s="6"/>
      <c r="Y941" s="6"/>
      <c r="Z941" s="6"/>
    </row>
    <row r="942">
      <c r="A942" s="9"/>
      <c r="B942" s="9"/>
      <c r="C942" s="9"/>
      <c r="D942" s="6"/>
      <c r="E942" s="9"/>
      <c r="F942" s="6"/>
      <c r="G942" s="6"/>
      <c r="H942" s="6"/>
      <c r="I942" s="6"/>
      <c r="J942" s="6"/>
      <c r="K942" s="6"/>
      <c r="L942" s="6"/>
      <c r="M942" s="6"/>
      <c r="N942" s="6"/>
      <c r="O942" s="6"/>
      <c r="P942" s="6"/>
      <c r="Q942" s="6"/>
      <c r="R942" s="6"/>
      <c r="S942" s="6"/>
      <c r="T942" s="6"/>
      <c r="U942" s="6"/>
      <c r="V942" s="6"/>
      <c r="W942" s="6"/>
      <c r="X942" s="6"/>
      <c r="Y942" s="6"/>
      <c r="Z942" s="6"/>
    </row>
    <row r="943">
      <c r="A943" s="9"/>
      <c r="B943" s="9"/>
      <c r="C943" s="9"/>
      <c r="D943" s="6"/>
      <c r="E943" s="9"/>
      <c r="F943" s="6"/>
      <c r="G943" s="6"/>
      <c r="H943" s="6"/>
      <c r="I943" s="6"/>
      <c r="J943" s="6"/>
      <c r="K943" s="6"/>
      <c r="L943" s="6"/>
      <c r="M943" s="6"/>
      <c r="N943" s="6"/>
      <c r="O943" s="6"/>
      <c r="P943" s="6"/>
      <c r="Q943" s="6"/>
      <c r="R943" s="6"/>
      <c r="S943" s="6"/>
      <c r="T943" s="6"/>
      <c r="U943" s="6"/>
      <c r="V943" s="6"/>
      <c r="W943" s="6"/>
      <c r="X943" s="6"/>
      <c r="Y943" s="6"/>
      <c r="Z943" s="6"/>
    </row>
    <row r="944">
      <c r="A944" s="9"/>
      <c r="B944" s="9"/>
      <c r="C944" s="9"/>
      <c r="D944" s="6"/>
      <c r="E944" s="9"/>
      <c r="F944" s="6"/>
      <c r="G944" s="6"/>
      <c r="H944" s="6"/>
      <c r="I944" s="6"/>
      <c r="J944" s="6"/>
      <c r="K944" s="6"/>
      <c r="L944" s="6"/>
      <c r="M944" s="6"/>
      <c r="N944" s="6"/>
      <c r="O944" s="6"/>
      <c r="P944" s="6"/>
      <c r="Q944" s="6"/>
      <c r="R944" s="6"/>
      <c r="S944" s="6"/>
      <c r="T944" s="6"/>
      <c r="U944" s="6"/>
      <c r="V944" s="6"/>
      <c r="W944" s="6"/>
      <c r="X944" s="6"/>
      <c r="Y944" s="6"/>
      <c r="Z944" s="6"/>
    </row>
    <row r="945">
      <c r="A945" s="9"/>
      <c r="B945" s="9"/>
      <c r="C945" s="9"/>
      <c r="D945" s="6"/>
      <c r="E945" s="9"/>
      <c r="F945" s="6"/>
      <c r="G945" s="6"/>
      <c r="H945" s="6"/>
      <c r="I945" s="6"/>
      <c r="J945" s="6"/>
      <c r="K945" s="6"/>
      <c r="L945" s="6"/>
      <c r="M945" s="6"/>
      <c r="N945" s="6"/>
      <c r="O945" s="6"/>
      <c r="P945" s="6"/>
      <c r="Q945" s="6"/>
      <c r="R945" s="6"/>
      <c r="S945" s="6"/>
      <c r="T945" s="6"/>
      <c r="U945" s="6"/>
      <c r="V945" s="6"/>
      <c r="W945" s="6"/>
      <c r="X945" s="6"/>
      <c r="Y945" s="6"/>
      <c r="Z945" s="6"/>
    </row>
    <row r="946">
      <c r="A946" s="9"/>
      <c r="B946" s="9"/>
      <c r="C946" s="9"/>
      <c r="D946" s="6"/>
      <c r="E946" s="9"/>
      <c r="F946" s="6"/>
      <c r="G946" s="6"/>
      <c r="H946" s="6"/>
      <c r="I946" s="6"/>
      <c r="J946" s="6"/>
      <c r="K946" s="6"/>
      <c r="L946" s="6"/>
      <c r="M946" s="6"/>
      <c r="N946" s="6"/>
      <c r="O946" s="6"/>
      <c r="P946" s="6"/>
      <c r="Q946" s="6"/>
      <c r="R946" s="6"/>
      <c r="S946" s="6"/>
      <c r="T946" s="6"/>
      <c r="U946" s="6"/>
      <c r="V946" s="6"/>
      <c r="W946" s="6"/>
      <c r="X946" s="6"/>
      <c r="Y946" s="6"/>
      <c r="Z946" s="6"/>
    </row>
    <row r="947">
      <c r="A947" s="9"/>
      <c r="B947" s="9"/>
      <c r="C947" s="9"/>
      <c r="D947" s="6"/>
      <c r="E947" s="9"/>
      <c r="F947" s="6"/>
      <c r="G947" s="6"/>
      <c r="H947" s="6"/>
      <c r="I947" s="6"/>
      <c r="J947" s="6"/>
      <c r="K947" s="6"/>
      <c r="L947" s="6"/>
      <c r="M947" s="6"/>
      <c r="N947" s="6"/>
      <c r="O947" s="6"/>
      <c r="P947" s="6"/>
      <c r="Q947" s="6"/>
      <c r="R947" s="6"/>
      <c r="S947" s="6"/>
      <c r="T947" s="6"/>
      <c r="U947" s="6"/>
      <c r="V947" s="6"/>
      <c r="W947" s="6"/>
      <c r="X947" s="6"/>
      <c r="Y947" s="6"/>
      <c r="Z947" s="6"/>
    </row>
    <row r="948">
      <c r="A948" s="9"/>
      <c r="B948" s="9"/>
      <c r="C948" s="9"/>
      <c r="D948" s="6"/>
      <c r="E948" s="9"/>
      <c r="F948" s="6"/>
      <c r="G948" s="6"/>
      <c r="H948" s="6"/>
      <c r="I948" s="6"/>
      <c r="J948" s="6"/>
      <c r="K948" s="6"/>
      <c r="L948" s="6"/>
      <c r="M948" s="6"/>
      <c r="N948" s="6"/>
      <c r="O948" s="6"/>
      <c r="P948" s="6"/>
      <c r="Q948" s="6"/>
      <c r="R948" s="6"/>
      <c r="S948" s="6"/>
      <c r="T948" s="6"/>
      <c r="U948" s="6"/>
      <c r="V948" s="6"/>
      <c r="W948" s="6"/>
      <c r="X948" s="6"/>
      <c r="Y948" s="6"/>
      <c r="Z948" s="6"/>
    </row>
    <row r="949">
      <c r="A949" s="9"/>
      <c r="B949" s="9"/>
      <c r="C949" s="9"/>
      <c r="D949" s="6"/>
      <c r="E949" s="9"/>
      <c r="F949" s="6"/>
      <c r="G949" s="6"/>
      <c r="H949" s="6"/>
      <c r="I949" s="6"/>
      <c r="J949" s="6"/>
      <c r="K949" s="6"/>
      <c r="L949" s="6"/>
      <c r="M949" s="6"/>
      <c r="N949" s="6"/>
      <c r="O949" s="6"/>
      <c r="P949" s="6"/>
      <c r="Q949" s="6"/>
      <c r="R949" s="6"/>
      <c r="S949" s="6"/>
      <c r="T949" s="6"/>
      <c r="U949" s="6"/>
      <c r="V949" s="6"/>
      <c r="W949" s="6"/>
      <c r="X949" s="6"/>
      <c r="Y949" s="6"/>
      <c r="Z949" s="6"/>
    </row>
    <row r="950">
      <c r="A950" s="9"/>
      <c r="B950" s="9"/>
      <c r="C950" s="9"/>
      <c r="D950" s="6"/>
      <c r="E950" s="9"/>
      <c r="F950" s="6"/>
      <c r="G950" s="6"/>
      <c r="H950" s="6"/>
      <c r="I950" s="6"/>
      <c r="J950" s="6"/>
      <c r="K950" s="6"/>
      <c r="L950" s="6"/>
      <c r="M950" s="6"/>
      <c r="N950" s="6"/>
      <c r="O950" s="6"/>
      <c r="P950" s="6"/>
      <c r="Q950" s="6"/>
      <c r="R950" s="6"/>
      <c r="S950" s="6"/>
      <c r="T950" s="6"/>
      <c r="U950" s="6"/>
      <c r="V950" s="6"/>
      <c r="W950" s="6"/>
      <c r="X950" s="6"/>
      <c r="Y950" s="6"/>
      <c r="Z950" s="6"/>
    </row>
    <row r="951">
      <c r="A951" s="9"/>
      <c r="B951" s="9"/>
      <c r="C951" s="9"/>
      <c r="D951" s="6"/>
      <c r="E951" s="9"/>
      <c r="F951" s="6"/>
      <c r="G951" s="6"/>
      <c r="H951" s="6"/>
      <c r="I951" s="6"/>
      <c r="J951" s="6"/>
      <c r="K951" s="6"/>
      <c r="L951" s="6"/>
      <c r="M951" s="6"/>
      <c r="N951" s="6"/>
      <c r="O951" s="6"/>
      <c r="P951" s="6"/>
      <c r="Q951" s="6"/>
      <c r="R951" s="6"/>
      <c r="S951" s="6"/>
      <c r="T951" s="6"/>
      <c r="U951" s="6"/>
      <c r="V951" s="6"/>
      <c r="W951" s="6"/>
      <c r="X951" s="6"/>
      <c r="Y951" s="6"/>
      <c r="Z951" s="6"/>
    </row>
    <row r="952">
      <c r="A952" s="9"/>
      <c r="B952" s="9"/>
      <c r="C952" s="9"/>
      <c r="D952" s="6"/>
      <c r="E952" s="9"/>
      <c r="F952" s="6"/>
      <c r="G952" s="6"/>
      <c r="H952" s="6"/>
      <c r="I952" s="6"/>
      <c r="J952" s="6"/>
      <c r="K952" s="6"/>
      <c r="L952" s="6"/>
      <c r="M952" s="6"/>
      <c r="N952" s="6"/>
      <c r="O952" s="6"/>
      <c r="P952" s="6"/>
      <c r="Q952" s="6"/>
      <c r="R952" s="6"/>
      <c r="S952" s="6"/>
      <c r="T952" s="6"/>
      <c r="U952" s="6"/>
      <c r="V952" s="6"/>
      <c r="W952" s="6"/>
      <c r="X952" s="6"/>
      <c r="Y952" s="6"/>
      <c r="Z952" s="6"/>
    </row>
    <row r="953">
      <c r="A953" s="9"/>
      <c r="B953" s="9"/>
      <c r="C953" s="9"/>
      <c r="D953" s="6"/>
      <c r="E953" s="9"/>
      <c r="F953" s="6"/>
      <c r="G953" s="6"/>
      <c r="H953" s="6"/>
      <c r="I953" s="6"/>
      <c r="J953" s="6"/>
      <c r="K953" s="6"/>
      <c r="L953" s="6"/>
      <c r="M953" s="6"/>
      <c r="N953" s="6"/>
      <c r="O953" s="6"/>
      <c r="P953" s="6"/>
      <c r="Q953" s="6"/>
      <c r="R953" s="6"/>
      <c r="S953" s="6"/>
      <c r="T953" s="6"/>
      <c r="U953" s="6"/>
      <c r="V953" s="6"/>
      <c r="W953" s="6"/>
      <c r="X953" s="6"/>
      <c r="Y953" s="6"/>
      <c r="Z953" s="6"/>
    </row>
    <row r="954">
      <c r="A954" s="9"/>
      <c r="B954" s="9"/>
      <c r="C954" s="9"/>
      <c r="D954" s="6"/>
      <c r="E954" s="9"/>
      <c r="F954" s="6"/>
      <c r="G954" s="6"/>
      <c r="H954" s="6"/>
      <c r="I954" s="6"/>
      <c r="J954" s="6"/>
      <c r="K954" s="6"/>
      <c r="L954" s="6"/>
      <c r="M954" s="6"/>
      <c r="N954" s="6"/>
      <c r="O954" s="6"/>
      <c r="P954" s="6"/>
      <c r="Q954" s="6"/>
      <c r="R954" s="6"/>
      <c r="S954" s="6"/>
      <c r="T954" s="6"/>
      <c r="U954" s="6"/>
      <c r="V954" s="6"/>
      <c r="W954" s="6"/>
      <c r="X954" s="6"/>
      <c r="Y954" s="6"/>
      <c r="Z954" s="6"/>
    </row>
    <row r="955">
      <c r="A955" s="9"/>
      <c r="B955" s="9"/>
      <c r="C955" s="9"/>
      <c r="D955" s="6"/>
      <c r="E955" s="9"/>
      <c r="F955" s="6"/>
      <c r="G955" s="6"/>
      <c r="H955" s="6"/>
      <c r="I955" s="6"/>
      <c r="J955" s="6"/>
      <c r="K955" s="6"/>
      <c r="L955" s="6"/>
      <c r="M955" s="6"/>
      <c r="N955" s="6"/>
      <c r="O955" s="6"/>
      <c r="P955" s="6"/>
      <c r="Q955" s="6"/>
      <c r="R955" s="6"/>
      <c r="S955" s="6"/>
      <c r="T955" s="6"/>
      <c r="U955" s="6"/>
      <c r="V955" s="6"/>
      <c r="W955" s="6"/>
      <c r="X955" s="6"/>
      <c r="Y955" s="6"/>
      <c r="Z955" s="6"/>
    </row>
    <row r="956">
      <c r="A956" s="9"/>
      <c r="B956" s="9"/>
      <c r="C956" s="9"/>
      <c r="D956" s="6"/>
      <c r="E956" s="9"/>
      <c r="F956" s="6"/>
      <c r="G956" s="6"/>
      <c r="H956" s="6"/>
      <c r="I956" s="6"/>
      <c r="J956" s="6"/>
      <c r="K956" s="6"/>
      <c r="L956" s="6"/>
      <c r="M956" s="6"/>
      <c r="N956" s="6"/>
      <c r="O956" s="6"/>
      <c r="P956" s="6"/>
      <c r="Q956" s="6"/>
      <c r="R956" s="6"/>
      <c r="S956" s="6"/>
      <c r="T956" s="6"/>
      <c r="U956" s="6"/>
      <c r="V956" s="6"/>
      <c r="W956" s="6"/>
      <c r="X956" s="6"/>
      <c r="Y956" s="6"/>
      <c r="Z956" s="6"/>
    </row>
    <row r="957">
      <c r="A957" s="9"/>
      <c r="B957" s="9"/>
      <c r="C957" s="9"/>
      <c r="D957" s="6"/>
      <c r="E957" s="9"/>
      <c r="F957" s="6"/>
      <c r="G957" s="6"/>
      <c r="H957" s="6"/>
      <c r="I957" s="6"/>
      <c r="J957" s="6"/>
      <c r="K957" s="6"/>
      <c r="L957" s="6"/>
      <c r="M957" s="6"/>
      <c r="N957" s="6"/>
      <c r="O957" s="6"/>
      <c r="P957" s="6"/>
      <c r="Q957" s="6"/>
      <c r="R957" s="6"/>
      <c r="S957" s="6"/>
      <c r="T957" s="6"/>
      <c r="U957" s="6"/>
      <c r="V957" s="6"/>
      <c r="W957" s="6"/>
      <c r="X957" s="6"/>
      <c r="Y957" s="6"/>
      <c r="Z957" s="6"/>
    </row>
    <row r="958">
      <c r="A958" s="9"/>
      <c r="B958" s="9"/>
      <c r="C958" s="9"/>
      <c r="D958" s="6"/>
      <c r="E958" s="9"/>
      <c r="F958" s="6"/>
      <c r="G958" s="6"/>
      <c r="H958" s="6"/>
      <c r="I958" s="6"/>
      <c r="J958" s="6"/>
      <c r="K958" s="6"/>
      <c r="L958" s="6"/>
      <c r="M958" s="6"/>
      <c r="N958" s="6"/>
      <c r="O958" s="6"/>
      <c r="P958" s="6"/>
      <c r="Q958" s="6"/>
      <c r="R958" s="6"/>
      <c r="S958" s="6"/>
      <c r="T958" s="6"/>
      <c r="U958" s="6"/>
      <c r="V958" s="6"/>
      <c r="W958" s="6"/>
      <c r="X958" s="6"/>
      <c r="Y958" s="6"/>
      <c r="Z958" s="6"/>
    </row>
    <row r="959">
      <c r="A959" s="9"/>
      <c r="B959" s="9"/>
      <c r="C959" s="9"/>
      <c r="D959" s="6"/>
      <c r="E959" s="9"/>
      <c r="F959" s="6"/>
      <c r="G959" s="6"/>
      <c r="H959" s="6"/>
      <c r="I959" s="6"/>
      <c r="J959" s="6"/>
      <c r="K959" s="6"/>
      <c r="L959" s="6"/>
      <c r="M959" s="6"/>
      <c r="N959" s="6"/>
      <c r="O959" s="6"/>
      <c r="P959" s="6"/>
      <c r="Q959" s="6"/>
      <c r="R959" s="6"/>
      <c r="S959" s="6"/>
      <c r="T959" s="6"/>
      <c r="U959" s="6"/>
      <c r="V959" s="6"/>
      <c r="W959" s="6"/>
      <c r="X959" s="6"/>
      <c r="Y959" s="6"/>
      <c r="Z959" s="6"/>
    </row>
    <row r="960">
      <c r="A960" s="9"/>
      <c r="B960" s="9"/>
      <c r="C960" s="9"/>
      <c r="D960" s="6"/>
      <c r="E960" s="9"/>
      <c r="F960" s="6"/>
      <c r="G960" s="6"/>
      <c r="H960" s="6"/>
      <c r="I960" s="6"/>
      <c r="J960" s="6"/>
      <c r="K960" s="6"/>
      <c r="L960" s="6"/>
      <c r="M960" s="6"/>
      <c r="N960" s="6"/>
      <c r="O960" s="6"/>
      <c r="P960" s="6"/>
      <c r="Q960" s="6"/>
      <c r="R960" s="6"/>
      <c r="S960" s="6"/>
      <c r="T960" s="6"/>
      <c r="U960" s="6"/>
      <c r="V960" s="6"/>
      <c r="W960" s="6"/>
      <c r="X960" s="6"/>
      <c r="Y960" s="6"/>
      <c r="Z960" s="6"/>
    </row>
    <row r="961">
      <c r="A961" s="9"/>
      <c r="B961" s="9"/>
      <c r="C961" s="9"/>
      <c r="D961" s="6"/>
      <c r="E961" s="9"/>
      <c r="F961" s="6"/>
      <c r="G961" s="6"/>
      <c r="H961" s="6"/>
      <c r="I961" s="6"/>
      <c r="J961" s="6"/>
      <c r="K961" s="6"/>
      <c r="L961" s="6"/>
      <c r="M961" s="6"/>
      <c r="N961" s="6"/>
      <c r="O961" s="6"/>
      <c r="P961" s="6"/>
      <c r="Q961" s="6"/>
      <c r="R961" s="6"/>
      <c r="S961" s="6"/>
      <c r="T961" s="6"/>
      <c r="U961" s="6"/>
      <c r="V961" s="6"/>
      <c r="W961" s="6"/>
      <c r="X961" s="6"/>
      <c r="Y961" s="6"/>
      <c r="Z961" s="6"/>
    </row>
    <row r="962">
      <c r="A962" s="9"/>
      <c r="B962" s="9"/>
      <c r="C962" s="9"/>
      <c r="D962" s="6"/>
      <c r="E962" s="9"/>
      <c r="F962" s="6"/>
      <c r="G962" s="6"/>
      <c r="H962" s="6"/>
      <c r="I962" s="6"/>
      <c r="J962" s="6"/>
      <c r="K962" s="6"/>
      <c r="L962" s="6"/>
      <c r="M962" s="6"/>
      <c r="N962" s="6"/>
      <c r="O962" s="6"/>
      <c r="P962" s="6"/>
      <c r="Q962" s="6"/>
      <c r="R962" s="6"/>
      <c r="S962" s="6"/>
      <c r="T962" s="6"/>
      <c r="U962" s="6"/>
      <c r="V962" s="6"/>
      <c r="W962" s="6"/>
      <c r="X962" s="6"/>
      <c r="Y962" s="6"/>
      <c r="Z962" s="6"/>
    </row>
    <row r="963">
      <c r="A963" s="9"/>
      <c r="B963" s="9"/>
      <c r="C963" s="9"/>
      <c r="D963" s="6"/>
      <c r="E963" s="9"/>
      <c r="F963" s="6"/>
      <c r="G963" s="6"/>
      <c r="H963" s="6"/>
      <c r="I963" s="6"/>
      <c r="J963" s="6"/>
      <c r="K963" s="6"/>
      <c r="L963" s="6"/>
      <c r="M963" s="6"/>
      <c r="N963" s="6"/>
      <c r="O963" s="6"/>
      <c r="P963" s="6"/>
      <c r="Q963" s="6"/>
      <c r="R963" s="6"/>
      <c r="S963" s="6"/>
      <c r="T963" s="6"/>
      <c r="U963" s="6"/>
      <c r="V963" s="6"/>
      <c r="W963" s="6"/>
      <c r="X963" s="6"/>
      <c r="Y963" s="6"/>
      <c r="Z963" s="6"/>
    </row>
    <row r="964">
      <c r="A964" s="9"/>
      <c r="B964" s="9"/>
      <c r="C964" s="9"/>
      <c r="D964" s="6"/>
      <c r="E964" s="9"/>
      <c r="F964" s="6"/>
      <c r="G964" s="6"/>
      <c r="H964" s="6"/>
      <c r="I964" s="6"/>
      <c r="J964" s="6"/>
      <c r="K964" s="6"/>
      <c r="L964" s="6"/>
      <c r="M964" s="6"/>
      <c r="N964" s="6"/>
      <c r="O964" s="6"/>
      <c r="P964" s="6"/>
      <c r="Q964" s="6"/>
      <c r="R964" s="6"/>
      <c r="S964" s="6"/>
      <c r="T964" s="6"/>
      <c r="U964" s="6"/>
      <c r="V964" s="6"/>
      <c r="W964" s="6"/>
      <c r="X964" s="6"/>
      <c r="Y964" s="6"/>
      <c r="Z964" s="6"/>
    </row>
    <row r="965">
      <c r="A965" s="9"/>
      <c r="B965" s="9"/>
      <c r="C965" s="9"/>
      <c r="D965" s="6"/>
      <c r="E965" s="9"/>
      <c r="F965" s="6"/>
      <c r="G965" s="6"/>
      <c r="H965" s="6"/>
      <c r="I965" s="6"/>
      <c r="J965" s="6"/>
      <c r="K965" s="6"/>
      <c r="L965" s="6"/>
      <c r="M965" s="6"/>
      <c r="N965" s="6"/>
      <c r="O965" s="6"/>
      <c r="P965" s="6"/>
      <c r="Q965" s="6"/>
      <c r="R965" s="6"/>
      <c r="S965" s="6"/>
      <c r="T965" s="6"/>
      <c r="U965" s="6"/>
      <c r="V965" s="6"/>
      <c r="W965" s="6"/>
      <c r="X965" s="6"/>
      <c r="Y965" s="6"/>
      <c r="Z965" s="6"/>
    </row>
    <row r="966">
      <c r="A966" s="9"/>
      <c r="B966" s="9"/>
      <c r="C966" s="9"/>
      <c r="D966" s="6"/>
      <c r="E966" s="9"/>
      <c r="F966" s="6"/>
      <c r="G966" s="6"/>
      <c r="H966" s="6"/>
      <c r="I966" s="6"/>
      <c r="J966" s="6"/>
      <c r="K966" s="6"/>
      <c r="L966" s="6"/>
      <c r="M966" s="6"/>
      <c r="N966" s="6"/>
      <c r="O966" s="6"/>
      <c r="P966" s="6"/>
      <c r="Q966" s="6"/>
      <c r="R966" s="6"/>
      <c r="S966" s="6"/>
      <c r="T966" s="6"/>
      <c r="U966" s="6"/>
      <c r="V966" s="6"/>
      <c r="W966" s="6"/>
      <c r="X966" s="6"/>
      <c r="Y966" s="6"/>
      <c r="Z966" s="6"/>
    </row>
    <row r="967">
      <c r="A967" s="9"/>
      <c r="B967" s="9"/>
      <c r="C967" s="9"/>
      <c r="D967" s="6"/>
      <c r="E967" s="9"/>
      <c r="F967" s="6"/>
      <c r="G967" s="6"/>
      <c r="H967" s="6"/>
      <c r="I967" s="6"/>
      <c r="J967" s="6"/>
      <c r="K967" s="6"/>
      <c r="L967" s="6"/>
      <c r="M967" s="6"/>
      <c r="N967" s="6"/>
      <c r="O967" s="6"/>
      <c r="P967" s="6"/>
      <c r="Q967" s="6"/>
      <c r="R967" s="6"/>
      <c r="S967" s="6"/>
      <c r="T967" s="6"/>
      <c r="U967" s="6"/>
      <c r="V967" s="6"/>
      <c r="W967" s="6"/>
      <c r="X967" s="6"/>
      <c r="Y967" s="6"/>
      <c r="Z967" s="6"/>
    </row>
    <row r="968">
      <c r="A968" s="9"/>
      <c r="B968" s="9"/>
      <c r="C968" s="9"/>
      <c r="D968" s="6"/>
      <c r="E968" s="9"/>
      <c r="F968" s="6"/>
      <c r="G968" s="6"/>
      <c r="H968" s="6"/>
      <c r="I968" s="6"/>
      <c r="J968" s="6"/>
      <c r="K968" s="6"/>
      <c r="L968" s="6"/>
      <c r="M968" s="6"/>
      <c r="N968" s="6"/>
      <c r="O968" s="6"/>
      <c r="P968" s="6"/>
      <c r="Q968" s="6"/>
      <c r="R968" s="6"/>
      <c r="S968" s="6"/>
      <c r="T968" s="6"/>
      <c r="U968" s="6"/>
      <c r="V968" s="6"/>
      <c r="W968" s="6"/>
      <c r="X968" s="6"/>
      <c r="Y968" s="6"/>
      <c r="Z968" s="6"/>
    </row>
    <row r="969">
      <c r="A969" s="9"/>
      <c r="B969" s="9"/>
      <c r="C969" s="9"/>
      <c r="D969" s="6"/>
      <c r="E969" s="9"/>
      <c r="F969" s="6"/>
      <c r="G969" s="6"/>
      <c r="H969" s="6"/>
      <c r="I969" s="6"/>
      <c r="J969" s="6"/>
      <c r="K969" s="6"/>
      <c r="L969" s="6"/>
      <c r="M969" s="6"/>
      <c r="N969" s="6"/>
      <c r="O969" s="6"/>
      <c r="P969" s="6"/>
      <c r="Q969" s="6"/>
      <c r="R969" s="6"/>
      <c r="S969" s="6"/>
      <c r="T969" s="6"/>
      <c r="U969" s="6"/>
      <c r="V969" s="6"/>
      <c r="W969" s="6"/>
      <c r="X969" s="6"/>
      <c r="Y969" s="6"/>
      <c r="Z969" s="6"/>
    </row>
    <row r="970">
      <c r="A970" s="9"/>
      <c r="B970" s="9"/>
      <c r="C970" s="9"/>
      <c r="D970" s="6"/>
      <c r="E970" s="9"/>
      <c r="F970" s="6"/>
      <c r="G970" s="6"/>
      <c r="H970" s="6"/>
      <c r="I970" s="6"/>
      <c r="J970" s="6"/>
      <c r="K970" s="6"/>
      <c r="L970" s="6"/>
      <c r="M970" s="6"/>
      <c r="N970" s="6"/>
      <c r="O970" s="6"/>
      <c r="P970" s="6"/>
      <c r="Q970" s="6"/>
      <c r="R970" s="6"/>
      <c r="S970" s="6"/>
      <c r="T970" s="6"/>
      <c r="U970" s="6"/>
      <c r="V970" s="6"/>
      <c r="W970" s="6"/>
      <c r="X970" s="6"/>
      <c r="Y970" s="6"/>
      <c r="Z970" s="6"/>
    </row>
    <row r="971">
      <c r="A971" s="9"/>
      <c r="B971" s="9"/>
      <c r="C971" s="9"/>
      <c r="D971" s="6"/>
      <c r="E971" s="9"/>
      <c r="F971" s="6"/>
      <c r="G971" s="6"/>
      <c r="H971" s="6"/>
      <c r="I971" s="6"/>
      <c r="J971" s="6"/>
      <c r="K971" s="6"/>
      <c r="L971" s="6"/>
      <c r="M971" s="6"/>
      <c r="N971" s="6"/>
      <c r="O971" s="6"/>
      <c r="P971" s="6"/>
      <c r="Q971" s="6"/>
      <c r="R971" s="6"/>
      <c r="S971" s="6"/>
      <c r="T971" s="6"/>
      <c r="U971" s="6"/>
      <c r="V971" s="6"/>
      <c r="W971" s="6"/>
      <c r="X971" s="6"/>
      <c r="Y971" s="6"/>
      <c r="Z971" s="6"/>
    </row>
    <row r="972">
      <c r="A972" s="9"/>
      <c r="B972" s="9"/>
      <c r="C972" s="9"/>
      <c r="D972" s="6"/>
      <c r="E972" s="9"/>
      <c r="F972" s="6"/>
      <c r="G972" s="6"/>
      <c r="H972" s="6"/>
      <c r="I972" s="6"/>
      <c r="J972" s="6"/>
      <c r="K972" s="6"/>
      <c r="L972" s="6"/>
      <c r="M972" s="6"/>
      <c r="N972" s="6"/>
      <c r="O972" s="6"/>
      <c r="P972" s="6"/>
      <c r="Q972" s="6"/>
      <c r="R972" s="6"/>
      <c r="S972" s="6"/>
      <c r="T972" s="6"/>
      <c r="U972" s="6"/>
      <c r="V972" s="6"/>
      <c r="W972" s="6"/>
      <c r="X972" s="6"/>
      <c r="Y972" s="6"/>
      <c r="Z972" s="6"/>
    </row>
    <row r="973">
      <c r="A973" s="9"/>
      <c r="B973" s="9"/>
      <c r="C973" s="9"/>
      <c r="D973" s="6"/>
      <c r="E973" s="9"/>
      <c r="F973" s="6"/>
      <c r="G973" s="6"/>
      <c r="H973" s="6"/>
      <c r="I973" s="6"/>
      <c r="J973" s="6"/>
      <c r="K973" s="6"/>
      <c r="L973" s="6"/>
      <c r="M973" s="6"/>
      <c r="N973" s="6"/>
      <c r="O973" s="6"/>
      <c r="P973" s="6"/>
      <c r="Q973" s="6"/>
      <c r="R973" s="6"/>
      <c r="S973" s="6"/>
      <c r="T973" s="6"/>
      <c r="U973" s="6"/>
      <c r="V973" s="6"/>
      <c r="W973" s="6"/>
      <c r="X973" s="6"/>
      <c r="Y973" s="6"/>
      <c r="Z973" s="6"/>
    </row>
    <row r="974">
      <c r="A974" s="9"/>
      <c r="B974" s="9"/>
      <c r="C974" s="9"/>
      <c r="D974" s="6"/>
      <c r="E974" s="9"/>
      <c r="F974" s="6"/>
      <c r="G974" s="6"/>
      <c r="H974" s="6"/>
      <c r="I974" s="6"/>
      <c r="J974" s="6"/>
      <c r="K974" s="6"/>
      <c r="L974" s="6"/>
      <c r="M974" s="6"/>
      <c r="N974" s="6"/>
      <c r="O974" s="6"/>
      <c r="P974" s="6"/>
      <c r="Q974" s="6"/>
      <c r="R974" s="6"/>
      <c r="S974" s="6"/>
      <c r="T974" s="6"/>
      <c r="U974" s="6"/>
      <c r="V974" s="6"/>
      <c r="W974" s="6"/>
      <c r="X974" s="6"/>
      <c r="Y974" s="6"/>
      <c r="Z974" s="6"/>
    </row>
    <row r="975">
      <c r="A975" s="9"/>
      <c r="B975" s="9"/>
      <c r="C975" s="9"/>
      <c r="D975" s="6"/>
      <c r="E975" s="9"/>
      <c r="F975" s="6"/>
      <c r="G975" s="6"/>
      <c r="H975" s="6"/>
      <c r="I975" s="6"/>
      <c r="J975" s="6"/>
      <c r="K975" s="6"/>
      <c r="L975" s="6"/>
      <c r="M975" s="6"/>
      <c r="N975" s="6"/>
      <c r="O975" s="6"/>
      <c r="P975" s="6"/>
      <c r="Q975" s="6"/>
      <c r="R975" s="6"/>
      <c r="S975" s="6"/>
      <c r="T975" s="6"/>
      <c r="U975" s="6"/>
      <c r="V975" s="6"/>
      <c r="W975" s="6"/>
      <c r="X975" s="6"/>
      <c r="Y975" s="6"/>
      <c r="Z975" s="6"/>
    </row>
    <row r="976">
      <c r="A976" s="9"/>
      <c r="B976" s="9"/>
      <c r="C976" s="9"/>
      <c r="D976" s="6"/>
      <c r="E976" s="9"/>
      <c r="F976" s="6"/>
      <c r="G976" s="6"/>
      <c r="H976" s="6"/>
      <c r="I976" s="6"/>
      <c r="J976" s="6"/>
      <c r="K976" s="6"/>
      <c r="L976" s="6"/>
      <c r="M976" s="6"/>
      <c r="N976" s="6"/>
      <c r="O976" s="6"/>
      <c r="P976" s="6"/>
      <c r="Q976" s="6"/>
      <c r="R976" s="6"/>
      <c r="S976" s="6"/>
      <c r="T976" s="6"/>
      <c r="U976" s="6"/>
      <c r="V976" s="6"/>
      <c r="W976" s="6"/>
      <c r="X976" s="6"/>
      <c r="Y976" s="6"/>
      <c r="Z976" s="6"/>
    </row>
    <row r="977">
      <c r="A977" s="9"/>
      <c r="B977" s="9"/>
      <c r="C977" s="9"/>
      <c r="D977" s="6"/>
      <c r="E977" s="9"/>
      <c r="F977" s="6"/>
      <c r="G977" s="6"/>
      <c r="H977" s="6"/>
      <c r="I977" s="6"/>
      <c r="J977" s="6"/>
      <c r="K977" s="6"/>
      <c r="L977" s="6"/>
      <c r="M977" s="6"/>
      <c r="N977" s="6"/>
      <c r="O977" s="6"/>
      <c r="P977" s="6"/>
      <c r="Q977" s="6"/>
      <c r="R977" s="6"/>
      <c r="S977" s="6"/>
      <c r="T977" s="6"/>
      <c r="U977" s="6"/>
      <c r="V977" s="6"/>
      <c r="W977" s="6"/>
      <c r="X977" s="6"/>
      <c r="Y977" s="6"/>
      <c r="Z977" s="6"/>
    </row>
    <row r="978">
      <c r="A978" s="9"/>
      <c r="B978" s="9"/>
      <c r="C978" s="9"/>
      <c r="D978" s="6"/>
      <c r="E978" s="9"/>
      <c r="F978" s="6"/>
      <c r="G978" s="6"/>
      <c r="H978" s="6"/>
      <c r="I978" s="6"/>
      <c r="J978" s="6"/>
      <c r="K978" s="6"/>
      <c r="L978" s="6"/>
      <c r="M978" s="6"/>
      <c r="N978" s="6"/>
      <c r="O978" s="6"/>
      <c r="P978" s="6"/>
      <c r="Q978" s="6"/>
      <c r="R978" s="6"/>
      <c r="S978" s="6"/>
      <c r="T978" s="6"/>
      <c r="U978" s="6"/>
      <c r="V978" s="6"/>
      <c r="W978" s="6"/>
      <c r="X978" s="6"/>
      <c r="Y978" s="6"/>
      <c r="Z978" s="6"/>
    </row>
    <row r="979">
      <c r="A979" s="9"/>
      <c r="B979" s="9"/>
      <c r="C979" s="9"/>
      <c r="D979" s="6"/>
      <c r="E979" s="9"/>
      <c r="F979" s="6"/>
      <c r="G979" s="6"/>
      <c r="H979" s="6"/>
      <c r="I979" s="6"/>
      <c r="J979" s="6"/>
      <c r="K979" s="6"/>
      <c r="L979" s="6"/>
      <c r="M979" s="6"/>
      <c r="N979" s="6"/>
      <c r="O979" s="6"/>
      <c r="P979" s="6"/>
      <c r="Q979" s="6"/>
      <c r="R979" s="6"/>
      <c r="S979" s="6"/>
      <c r="T979" s="6"/>
      <c r="U979" s="6"/>
      <c r="V979" s="6"/>
      <c r="W979" s="6"/>
      <c r="X979" s="6"/>
      <c r="Y979" s="6"/>
      <c r="Z979" s="6"/>
    </row>
    <row r="980">
      <c r="A980" s="9"/>
      <c r="B980" s="9"/>
      <c r="C980" s="9"/>
      <c r="D980" s="6"/>
      <c r="E980" s="9"/>
      <c r="F980" s="6"/>
      <c r="G980" s="6"/>
      <c r="H980" s="6"/>
      <c r="I980" s="6"/>
      <c r="J980" s="6"/>
      <c r="K980" s="6"/>
      <c r="L980" s="6"/>
      <c r="M980" s="6"/>
      <c r="N980" s="6"/>
      <c r="O980" s="6"/>
      <c r="P980" s="6"/>
      <c r="Q980" s="6"/>
      <c r="R980" s="6"/>
      <c r="S980" s="6"/>
      <c r="T980" s="6"/>
      <c r="U980" s="6"/>
      <c r="V980" s="6"/>
      <c r="W980" s="6"/>
      <c r="X980" s="6"/>
      <c r="Y980" s="6"/>
      <c r="Z980" s="6"/>
    </row>
    <row r="981">
      <c r="A981" s="9"/>
      <c r="B981" s="9"/>
      <c r="C981" s="9"/>
      <c r="D981" s="6"/>
      <c r="E981" s="9"/>
      <c r="F981" s="6"/>
      <c r="G981" s="6"/>
      <c r="H981" s="6"/>
      <c r="I981" s="6"/>
      <c r="J981" s="6"/>
      <c r="K981" s="6"/>
      <c r="L981" s="6"/>
      <c r="M981" s="6"/>
      <c r="N981" s="6"/>
      <c r="O981" s="6"/>
      <c r="P981" s="6"/>
      <c r="Q981" s="6"/>
      <c r="R981" s="6"/>
      <c r="S981" s="6"/>
      <c r="T981" s="6"/>
      <c r="U981" s="6"/>
      <c r="V981" s="6"/>
      <c r="W981" s="6"/>
      <c r="X981" s="6"/>
      <c r="Y981" s="6"/>
      <c r="Z981" s="6"/>
    </row>
    <row r="982">
      <c r="A982" s="9"/>
      <c r="B982" s="9"/>
      <c r="C982" s="9"/>
      <c r="D982" s="6"/>
      <c r="E982" s="9"/>
      <c r="F982" s="6"/>
      <c r="G982" s="6"/>
      <c r="H982" s="6"/>
      <c r="I982" s="6"/>
      <c r="J982" s="6"/>
      <c r="K982" s="6"/>
      <c r="L982" s="6"/>
      <c r="M982" s="6"/>
      <c r="N982" s="6"/>
      <c r="O982" s="6"/>
      <c r="P982" s="6"/>
      <c r="Q982" s="6"/>
      <c r="R982" s="6"/>
      <c r="S982" s="6"/>
      <c r="T982" s="6"/>
      <c r="U982" s="6"/>
      <c r="V982" s="6"/>
      <c r="W982" s="6"/>
      <c r="X982" s="6"/>
      <c r="Y982" s="6"/>
      <c r="Z982" s="6"/>
    </row>
    <row r="983">
      <c r="A983" s="9"/>
      <c r="B983" s="9"/>
      <c r="C983" s="9"/>
      <c r="D983" s="6"/>
      <c r="E983" s="9"/>
      <c r="F983" s="6"/>
      <c r="G983" s="6"/>
      <c r="H983" s="6"/>
      <c r="I983" s="6"/>
      <c r="J983" s="6"/>
      <c r="K983" s="6"/>
      <c r="L983" s="6"/>
      <c r="M983" s="6"/>
      <c r="N983" s="6"/>
      <c r="O983" s="6"/>
      <c r="P983" s="6"/>
      <c r="Q983" s="6"/>
      <c r="R983" s="6"/>
      <c r="S983" s="6"/>
      <c r="T983" s="6"/>
      <c r="U983" s="6"/>
      <c r="V983" s="6"/>
      <c r="W983" s="6"/>
      <c r="X983" s="6"/>
      <c r="Y983" s="6"/>
      <c r="Z983" s="6"/>
    </row>
    <row r="984">
      <c r="A984" s="9"/>
      <c r="B984" s="9"/>
      <c r="C984" s="9"/>
      <c r="D984" s="6"/>
      <c r="E984" s="9"/>
      <c r="F984" s="6"/>
      <c r="G984" s="6"/>
      <c r="H984" s="6"/>
      <c r="I984" s="6"/>
      <c r="J984" s="6"/>
      <c r="K984" s="6"/>
      <c r="L984" s="6"/>
      <c r="M984" s="6"/>
      <c r="N984" s="6"/>
      <c r="O984" s="6"/>
      <c r="P984" s="6"/>
      <c r="Q984" s="6"/>
      <c r="R984" s="6"/>
      <c r="S984" s="6"/>
      <c r="T984" s="6"/>
      <c r="U984" s="6"/>
      <c r="V984" s="6"/>
      <c r="W984" s="6"/>
      <c r="X984" s="6"/>
      <c r="Y984" s="6"/>
      <c r="Z984" s="6"/>
    </row>
    <row r="985">
      <c r="A985" s="9"/>
      <c r="B985" s="9"/>
      <c r="C985" s="9"/>
      <c r="D985" s="6"/>
      <c r="E985" s="9"/>
      <c r="F985" s="6"/>
      <c r="G985" s="6"/>
      <c r="H985" s="6"/>
      <c r="I985" s="6"/>
      <c r="J985" s="6"/>
      <c r="K985" s="6"/>
      <c r="L985" s="6"/>
      <c r="M985" s="6"/>
      <c r="N985" s="6"/>
      <c r="O985" s="6"/>
      <c r="P985" s="6"/>
      <c r="Q985" s="6"/>
      <c r="R985" s="6"/>
      <c r="S985" s="6"/>
      <c r="T985" s="6"/>
      <c r="U985" s="6"/>
      <c r="V985" s="6"/>
      <c r="W985" s="6"/>
      <c r="X985" s="6"/>
      <c r="Y985" s="6"/>
      <c r="Z985" s="6"/>
    </row>
    <row r="986">
      <c r="A986" s="9"/>
      <c r="B986" s="9"/>
      <c r="C986" s="9"/>
      <c r="D986" s="6"/>
      <c r="E986" s="9"/>
      <c r="F986" s="6"/>
      <c r="G986" s="6"/>
      <c r="H986" s="6"/>
      <c r="I986" s="6"/>
      <c r="J986" s="6"/>
      <c r="K986" s="6"/>
      <c r="L986" s="6"/>
      <c r="M986" s="6"/>
      <c r="N986" s="6"/>
      <c r="O986" s="6"/>
      <c r="P986" s="6"/>
      <c r="Q986" s="6"/>
      <c r="R986" s="6"/>
      <c r="S986" s="6"/>
      <c r="T986" s="6"/>
      <c r="U986" s="6"/>
      <c r="V986" s="6"/>
      <c r="W986" s="6"/>
      <c r="X986" s="6"/>
      <c r="Y986" s="6"/>
      <c r="Z986" s="6"/>
    </row>
    <row r="987">
      <c r="A987" s="9"/>
      <c r="B987" s="9"/>
      <c r="C987" s="9"/>
      <c r="D987" s="6"/>
      <c r="E987" s="9"/>
      <c r="F987" s="6"/>
      <c r="G987" s="6"/>
      <c r="H987" s="6"/>
      <c r="I987" s="6"/>
      <c r="J987" s="6"/>
      <c r="K987" s="6"/>
      <c r="L987" s="6"/>
      <c r="M987" s="6"/>
      <c r="N987" s="6"/>
      <c r="O987" s="6"/>
      <c r="P987" s="6"/>
      <c r="Q987" s="6"/>
      <c r="R987" s="6"/>
      <c r="S987" s="6"/>
      <c r="T987" s="6"/>
      <c r="U987" s="6"/>
      <c r="V987" s="6"/>
      <c r="W987" s="6"/>
      <c r="X987" s="6"/>
      <c r="Y987" s="6"/>
      <c r="Z987" s="6"/>
    </row>
    <row r="988">
      <c r="A988" s="9"/>
      <c r="B988" s="9"/>
      <c r="C988" s="9"/>
      <c r="D988" s="6"/>
      <c r="E988" s="9"/>
      <c r="F988" s="6"/>
      <c r="G988" s="6"/>
      <c r="H988" s="6"/>
      <c r="I988" s="6"/>
      <c r="J988" s="6"/>
      <c r="K988" s="6"/>
      <c r="L988" s="6"/>
      <c r="M988" s="6"/>
      <c r="N988" s="6"/>
      <c r="O988" s="6"/>
      <c r="P988" s="6"/>
      <c r="Q988" s="6"/>
      <c r="R988" s="6"/>
      <c r="S988" s="6"/>
      <c r="T988" s="6"/>
      <c r="U988" s="6"/>
      <c r="V988" s="6"/>
      <c r="W988" s="6"/>
      <c r="X988" s="6"/>
      <c r="Y988" s="6"/>
      <c r="Z988" s="6"/>
    </row>
    <row r="989">
      <c r="A989" s="9"/>
      <c r="B989" s="9"/>
      <c r="C989" s="9"/>
      <c r="D989" s="6"/>
      <c r="E989" s="9"/>
      <c r="F989" s="6"/>
      <c r="G989" s="6"/>
      <c r="H989" s="6"/>
      <c r="I989" s="6"/>
      <c r="J989" s="6"/>
      <c r="K989" s="6"/>
      <c r="L989" s="6"/>
      <c r="M989" s="6"/>
      <c r="N989" s="6"/>
      <c r="O989" s="6"/>
      <c r="P989" s="6"/>
      <c r="Q989" s="6"/>
      <c r="R989" s="6"/>
      <c r="S989" s="6"/>
      <c r="T989" s="6"/>
      <c r="U989" s="6"/>
      <c r="V989" s="6"/>
      <c r="W989" s="6"/>
      <c r="X989" s="6"/>
      <c r="Y989" s="6"/>
      <c r="Z989" s="6"/>
    </row>
    <row r="990">
      <c r="A990" s="9"/>
      <c r="B990" s="9"/>
      <c r="C990" s="9"/>
      <c r="D990" s="6"/>
      <c r="E990" s="9"/>
      <c r="F990" s="6"/>
      <c r="G990" s="6"/>
      <c r="H990" s="6"/>
      <c r="I990" s="6"/>
      <c r="J990" s="6"/>
      <c r="K990" s="6"/>
      <c r="L990" s="6"/>
      <c r="M990" s="6"/>
      <c r="N990" s="6"/>
      <c r="O990" s="6"/>
      <c r="P990" s="6"/>
      <c r="Q990" s="6"/>
      <c r="R990" s="6"/>
      <c r="S990" s="6"/>
      <c r="T990" s="6"/>
      <c r="U990" s="6"/>
      <c r="V990" s="6"/>
      <c r="W990" s="6"/>
      <c r="X990" s="6"/>
      <c r="Y990" s="6"/>
      <c r="Z990" s="6"/>
    </row>
    <row r="991">
      <c r="A991" s="9"/>
      <c r="B991" s="9"/>
      <c r="C991" s="9"/>
      <c r="D991" s="6"/>
      <c r="E991" s="9"/>
      <c r="F991" s="6"/>
      <c r="G991" s="6"/>
      <c r="H991" s="6"/>
      <c r="I991" s="6"/>
      <c r="J991" s="6"/>
      <c r="K991" s="6"/>
      <c r="L991" s="6"/>
      <c r="M991" s="6"/>
      <c r="N991" s="6"/>
      <c r="O991" s="6"/>
      <c r="P991" s="6"/>
      <c r="Q991" s="6"/>
      <c r="R991" s="6"/>
      <c r="S991" s="6"/>
      <c r="T991" s="6"/>
      <c r="U991" s="6"/>
      <c r="V991" s="6"/>
      <c r="W991" s="6"/>
      <c r="X991" s="6"/>
      <c r="Y991" s="6"/>
      <c r="Z991" s="6"/>
    </row>
    <row r="992">
      <c r="A992" s="9"/>
      <c r="B992" s="9"/>
      <c r="C992" s="9"/>
      <c r="D992" s="6"/>
      <c r="E992" s="9"/>
      <c r="F992" s="6"/>
      <c r="G992" s="6"/>
      <c r="H992" s="6"/>
      <c r="I992" s="6"/>
      <c r="J992" s="6"/>
      <c r="K992" s="6"/>
      <c r="L992" s="6"/>
      <c r="M992" s="6"/>
      <c r="N992" s="6"/>
      <c r="O992" s="6"/>
      <c r="P992" s="6"/>
      <c r="Q992" s="6"/>
      <c r="R992" s="6"/>
      <c r="S992" s="6"/>
      <c r="T992" s="6"/>
      <c r="U992" s="6"/>
      <c r="V992" s="6"/>
      <c r="W992" s="6"/>
      <c r="X992" s="6"/>
      <c r="Y992" s="6"/>
      <c r="Z992" s="6"/>
    </row>
    <row r="993">
      <c r="A993" s="9"/>
      <c r="B993" s="9"/>
      <c r="C993" s="9"/>
      <c r="D993" s="6"/>
      <c r="E993" s="9"/>
      <c r="F993" s="6"/>
      <c r="G993" s="6"/>
      <c r="H993" s="6"/>
      <c r="I993" s="6"/>
      <c r="J993" s="6"/>
      <c r="K993" s="6"/>
      <c r="L993" s="6"/>
      <c r="M993" s="6"/>
      <c r="N993" s="6"/>
      <c r="O993" s="6"/>
      <c r="P993" s="6"/>
      <c r="Q993" s="6"/>
      <c r="R993" s="6"/>
      <c r="S993" s="6"/>
      <c r="T993" s="6"/>
      <c r="U993" s="6"/>
      <c r="V993" s="6"/>
      <c r="W993" s="6"/>
      <c r="X993" s="6"/>
      <c r="Y993" s="6"/>
      <c r="Z993" s="6"/>
    </row>
    <row r="994">
      <c r="A994" s="9"/>
      <c r="B994" s="9"/>
      <c r="C994" s="9"/>
      <c r="D994" s="6"/>
      <c r="E994" s="9"/>
      <c r="F994" s="6"/>
      <c r="G994" s="6"/>
      <c r="H994" s="6"/>
      <c r="I994" s="6"/>
      <c r="J994" s="6"/>
      <c r="K994" s="6"/>
      <c r="L994" s="6"/>
      <c r="M994" s="6"/>
      <c r="N994" s="6"/>
      <c r="O994" s="6"/>
      <c r="P994" s="6"/>
      <c r="Q994" s="6"/>
      <c r="R994" s="6"/>
      <c r="S994" s="6"/>
      <c r="T994" s="6"/>
      <c r="U994" s="6"/>
      <c r="V994" s="6"/>
      <c r="W994" s="6"/>
      <c r="X994" s="6"/>
      <c r="Y994" s="6"/>
      <c r="Z994" s="6"/>
    </row>
    <row r="995">
      <c r="A995" s="9"/>
      <c r="B995" s="9"/>
      <c r="C995" s="9"/>
      <c r="D995" s="6"/>
      <c r="E995" s="9"/>
      <c r="F995" s="6"/>
      <c r="G995" s="6"/>
      <c r="H995" s="6"/>
      <c r="I995" s="6"/>
      <c r="J995" s="6"/>
      <c r="K995" s="6"/>
      <c r="L995" s="6"/>
      <c r="M995" s="6"/>
      <c r="N995" s="6"/>
      <c r="O995" s="6"/>
      <c r="P995" s="6"/>
      <c r="Q995" s="6"/>
      <c r="R995" s="6"/>
      <c r="S995" s="6"/>
      <c r="T995" s="6"/>
      <c r="U995" s="6"/>
      <c r="V995" s="6"/>
      <c r="W995" s="6"/>
      <c r="X995" s="6"/>
      <c r="Y995" s="6"/>
      <c r="Z995" s="6"/>
    </row>
    <row r="996">
      <c r="A996" s="9"/>
      <c r="B996" s="9"/>
      <c r="C996" s="9"/>
      <c r="D996" s="6"/>
      <c r="E996" s="9"/>
      <c r="F996" s="6"/>
      <c r="G996" s="6"/>
      <c r="H996" s="6"/>
      <c r="I996" s="6"/>
      <c r="J996" s="6"/>
      <c r="K996" s="6"/>
      <c r="L996" s="6"/>
      <c r="M996" s="6"/>
      <c r="N996" s="6"/>
      <c r="O996" s="6"/>
      <c r="P996" s="6"/>
      <c r="Q996" s="6"/>
      <c r="R996" s="6"/>
      <c r="S996" s="6"/>
      <c r="T996" s="6"/>
      <c r="U996" s="6"/>
      <c r="V996" s="6"/>
      <c r="W996" s="6"/>
      <c r="X996" s="6"/>
      <c r="Y996" s="6"/>
      <c r="Z996" s="6"/>
    </row>
    <row r="997">
      <c r="A997" s="9"/>
      <c r="B997" s="9"/>
      <c r="C997" s="9"/>
      <c r="D997" s="6"/>
      <c r="E997" s="9"/>
      <c r="F997" s="6"/>
      <c r="G997" s="6"/>
      <c r="H997" s="6"/>
      <c r="I997" s="6"/>
      <c r="J997" s="6"/>
      <c r="K997" s="6"/>
      <c r="L997" s="6"/>
      <c r="M997" s="6"/>
      <c r="N997" s="6"/>
      <c r="O997" s="6"/>
      <c r="P997" s="6"/>
      <c r="Q997" s="6"/>
      <c r="R997" s="6"/>
      <c r="S997" s="6"/>
      <c r="T997" s="6"/>
      <c r="U997" s="6"/>
      <c r="V997" s="6"/>
      <c r="W997" s="6"/>
      <c r="X997" s="6"/>
      <c r="Y997" s="6"/>
      <c r="Z997" s="6"/>
    </row>
    <row r="998">
      <c r="A998" s="9"/>
      <c r="B998" s="9"/>
      <c r="C998" s="9"/>
      <c r="D998" s="6"/>
      <c r="E998" s="9"/>
      <c r="F998" s="6"/>
      <c r="G998" s="6"/>
      <c r="H998" s="6"/>
      <c r="I998" s="6"/>
      <c r="J998" s="6"/>
      <c r="K998" s="6"/>
      <c r="L998" s="6"/>
      <c r="M998" s="6"/>
      <c r="N998" s="6"/>
      <c r="O998" s="6"/>
      <c r="P998" s="6"/>
      <c r="Q998" s="6"/>
      <c r="R998" s="6"/>
      <c r="S998" s="6"/>
      <c r="T998" s="6"/>
      <c r="U998" s="6"/>
      <c r="V998" s="6"/>
      <c r="W998" s="6"/>
      <c r="X998" s="6"/>
      <c r="Y998" s="6"/>
      <c r="Z998" s="6"/>
    </row>
    <row r="999">
      <c r="A999" s="9"/>
      <c r="B999" s="9"/>
      <c r="C999" s="9"/>
      <c r="D999" s="6"/>
      <c r="E999" s="9"/>
      <c r="F999" s="6"/>
      <c r="G999" s="6"/>
      <c r="H999" s="6"/>
      <c r="I999" s="6"/>
      <c r="J999" s="6"/>
      <c r="K999" s="6"/>
      <c r="L999" s="6"/>
      <c r="M999" s="6"/>
      <c r="N999" s="6"/>
      <c r="O999" s="6"/>
      <c r="P999" s="6"/>
      <c r="Q999" s="6"/>
      <c r="R999" s="6"/>
      <c r="S999" s="6"/>
      <c r="T999" s="6"/>
      <c r="U999" s="6"/>
      <c r="V999" s="6"/>
      <c r="W999" s="6"/>
      <c r="X999" s="6"/>
      <c r="Y999" s="6"/>
      <c r="Z999" s="6"/>
    </row>
    <row r="1000">
      <c r="A1000" s="9"/>
      <c r="B1000" s="9"/>
      <c r="C1000" s="9"/>
      <c r="D1000" s="6"/>
      <c r="E1000" s="9"/>
      <c r="F1000" s="6"/>
      <c r="G1000" s="6"/>
      <c r="H1000" s="6"/>
      <c r="I1000" s="6"/>
      <c r="J1000" s="6"/>
      <c r="K1000" s="6"/>
      <c r="L1000" s="6"/>
      <c r="M1000" s="6"/>
      <c r="N1000" s="6"/>
      <c r="O1000" s="6"/>
      <c r="P1000" s="6"/>
      <c r="Q1000" s="6"/>
      <c r="R1000" s="6"/>
      <c r="S1000" s="6"/>
      <c r="T1000" s="6"/>
      <c r="U1000" s="6"/>
      <c r="V1000" s="6"/>
      <c r="W1000" s="6"/>
      <c r="X1000" s="6"/>
      <c r="Y1000" s="6"/>
      <c r="Z1000" s="6"/>
    </row>
    <row r="1001">
      <c r="A1001" s="9"/>
      <c r="B1001" s="9"/>
      <c r="C1001" s="9"/>
      <c r="D1001" s="6"/>
      <c r="E1001" s="9"/>
      <c r="F1001" s="6"/>
      <c r="G1001" s="6"/>
      <c r="H1001" s="6"/>
      <c r="I1001" s="6"/>
      <c r="J1001" s="6"/>
      <c r="K1001" s="6"/>
      <c r="L1001" s="6"/>
      <c r="M1001" s="6"/>
      <c r="N1001" s="6"/>
      <c r="O1001" s="6"/>
      <c r="P1001" s="6"/>
      <c r="Q1001" s="6"/>
      <c r="R1001" s="6"/>
      <c r="S1001" s="6"/>
      <c r="T1001" s="6"/>
      <c r="U1001" s="6"/>
      <c r="V1001" s="6"/>
      <c r="W1001" s="6"/>
      <c r="X1001" s="6"/>
      <c r="Y1001" s="6"/>
      <c r="Z1001" s="6"/>
    </row>
    <row r="1002">
      <c r="A1002" s="9"/>
      <c r="B1002" s="9"/>
      <c r="C1002" s="9"/>
      <c r="D1002" s="6"/>
      <c r="E1002" s="9"/>
      <c r="F1002" s="6"/>
      <c r="G1002" s="6"/>
      <c r="H1002" s="6"/>
      <c r="I1002" s="6"/>
      <c r="J1002" s="6"/>
      <c r="K1002" s="6"/>
      <c r="L1002" s="6"/>
      <c r="M1002" s="6"/>
      <c r="N1002" s="6"/>
      <c r="O1002" s="6"/>
      <c r="P1002" s="6"/>
      <c r="Q1002" s="6"/>
      <c r="R1002" s="6"/>
      <c r="S1002" s="6"/>
      <c r="T1002" s="6"/>
      <c r="U1002" s="6"/>
      <c r="V1002" s="6"/>
      <c r="W1002" s="6"/>
      <c r="X1002" s="6"/>
      <c r="Y1002" s="6"/>
      <c r="Z1002" s="6"/>
    </row>
  </sheetData>
  <mergeCells count="12">
    <mergeCell ref="A31:A33"/>
    <mergeCell ref="A34:A40"/>
    <mergeCell ref="A41:A45"/>
    <mergeCell ref="A46:A48"/>
    <mergeCell ref="A49:A52"/>
    <mergeCell ref="A2:A5"/>
    <mergeCell ref="A6:A12"/>
    <mergeCell ref="A13:A14"/>
    <mergeCell ref="A15:A17"/>
    <mergeCell ref="A18:A22"/>
    <mergeCell ref="A23:A26"/>
    <mergeCell ref="A27:A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118</v>
      </c>
      <c r="B1" s="20" t="s">
        <v>119</v>
      </c>
      <c r="C1" s="20" t="s">
        <v>120</v>
      </c>
      <c r="D1" s="20" t="s">
        <v>121</v>
      </c>
      <c r="E1" s="20" t="s">
        <v>122</v>
      </c>
      <c r="F1" s="20" t="s">
        <v>123</v>
      </c>
      <c r="G1" s="21" t="s">
        <v>124</v>
      </c>
      <c r="H1" s="21" t="s">
        <v>125</v>
      </c>
      <c r="I1" s="21" t="s">
        <v>126</v>
      </c>
      <c r="J1" s="22" t="s">
        <v>127</v>
      </c>
      <c r="K1" s="20" t="s">
        <v>128</v>
      </c>
      <c r="L1" s="23" t="s">
        <v>129</v>
      </c>
      <c r="M1" s="20" t="s">
        <v>130</v>
      </c>
      <c r="N1" s="23" t="s">
        <v>131</v>
      </c>
      <c r="O1" s="20" t="s">
        <v>132</v>
      </c>
      <c r="P1" s="20" t="s">
        <v>133</v>
      </c>
      <c r="Q1" s="20" t="s">
        <v>134</v>
      </c>
      <c r="R1" s="20" t="s">
        <v>135</v>
      </c>
      <c r="S1" s="20" t="s">
        <v>136</v>
      </c>
      <c r="T1" s="20" t="s">
        <v>137</v>
      </c>
      <c r="U1" s="20" t="s">
        <v>138</v>
      </c>
      <c r="V1" s="20" t="s">
        <v>139</v>
      </c>
      <c r="W1" s="20" t="s">
        <v>140</v>
      </c>
      <c r="X1" s="20" t="s">
        <v>141</v>
      </c>
      <c r="Y1" s="20" t="s">
        <v>142</v>
      </c>
      <c r="Z1" s="20" t="s">
        <v>143</v>
      </c>
      <c r="AA1" s="20" t="s">
        <v>144</v>
      </c>
      <c r="AB1" s="20" t="s">
        <v>145</v>
      </c>
      <c r="AC1" s="20" t="s">
        <v>146</v>
      </c>
      <c r="AD1" s="20" t="s">
        <v>147</v>
      </c>
      <c r="AE1" s="24" t="s">
        <v>148</v>
      </c>
      <c r="AF1" s="24" t="s">
        <v>149</v>
      </c>
      <c r="AG1" s="24" t="s">
        <v>150</v>
      </c>
      <c r="AH1" s="25" t="s">
        <v>151</v>
      </c>
      <c r="AI1" s="25" t="s">
        <v>152</v>
      </c>
      <c r="AJ1" s="25" t="s">
        <v>153</v>
      </c>
      <c r="AK1" s="25" t="s">
        <v>154</v>
      </c>
      <c r="AL1" s="25" t="s">
        <v>155</v>
      </c>
      <c r="AM1" s="25" t="s">
        <v>156</v>
      </c>
      <c r="AN1" s="25" t="s">
        <v>157</v>
      </c>
      <c r="AO1" s="25" t="s">
        <v>158</v>
      </c>
      <c r="AP1" s="25" t="s">
        <v>159</v>
      </c>
      <c r="AQ1" s="25" t="s">
        <v>160</v>
      </c>
      <c r="AR1" s="25" t="s">
        <v>161</v>
      </c>
      <c r="AS1" s="25" t="s">
        <v>162</v>
      </c>
      <c r="AT1" s="25" t="s">
        <v>163</v>
      </c>
      <c r="AU1" s="25" t="s">
        <v>164</v>
      </c>
      <c r="AV1" s="25" t="s">
        <v>165</v>
      </c>
      <c r="AW1" s="25" t="s">
        <v>166</v>
      </c>
      <c r="AX1" s="25" t="s">
        <v>167</v>
      </c>
      <c r="AY1" s="25" t="s">
        <v>168</v>
      </c>
      <c r="AZ1" s="25" t="s">
        <v>169</v>
      </c>
      <c r="BA1" s="25" t="s">
        <v>170</v>
      </c>
      <c r="BB1" s="25" t="s">
        <v>171</v>
      </c>
      <c r="BC1" s="25" t="s">
        <v>172</v>
      </c>
      <c r="BD1" s="25" t="s">
        <v>173</v>
      </c>
      <c r="BE1" s="25" t="s">
        <v>174</v>
      </c>
      <c r="BF1" s="25" t="s">
        <v>175</v>
      </c>
      <c r="BG1" s="25" t="s">
        <v>176</v>
      </c>
      <c r="BH1" s="25" t="s">
        <v>177</v>
      </c>
      <c r="BI1" s="25" t="s">
        <v>178</v>
      </c>
      <c r="BJ1" s="25" t="s">
        <v>179</v>
      </c>
      <c r="BK1" s="25" t="s">
        <v>180</v>
      </c>
      <c r="BL1" s="25" t="s">
        <v>181</v>
      </c>
      <c r="BM1" s="25" t="s">
        <v>182</v>
      </c>
      <c r="BN1" s="25" t="s">
        <v>183</v>
      </c>
      <c r="BO1" s="25" t="s">
        <v>184</v>
      </c>
      <c r="BP1" s="25" t="s">
        <v>185</v>
      </c>
      <c r="BQ1" s="25" t="s">
        <v>186</v>
      </c>
      <c r="BR1" s="25" t="s">
        <v>187</v>
      </c>
      <c r="BS1" s="25" t="s">
        <v>188</v>
      </c>
      <c r="BT1" s="25" t="s">
        <v>189</v>
      </c>
      <c r="BU1" s="25" t="s">
        <v>190</v>
      </c>
      <c r="BV1" s="25" t="s">
        <v>191</v>
      </c>
      <c r="BW1" s="25" t="s">
        <v>192</v>
      </c>
      <c r="BX1" s="25" t="s">
        <v>193</v>
      </c>
      <c r="BY1" s="25" t="s">
        <v>194</v>
      </c>
      <c r="BZ1" s="25" t="s">
        <v>195</v>
      </c>
      <c r="CA1" s="25" t="s">
        <v>196</v>
      </c>
      <c r="CB1" s="25" t="s">
        <v>197</v>
      </c>
      <c r="CC1" s="25" t="s">
        <v>198</v>
      </c>
      <c r="CD1" s="25" t="s">
        <v>199</v>
      </c>
      <c r="CE1" s="25" t="s">
        <v>200</v>
      </c>
      <c r="CF1" s="25" t="s">
        <v>201</v>
      </c>
      <c r="CG1" s="25" t="s">
        <v>202</v>
      </c>
      <c r="CH1" s="25" t="s">
        <v>203</v>
      </c>
      <c r="CI1" s="25" t="s">
        <v>204</v>
      </c>
      <c r="CJ1" s="25" t="s">
        <v>205</v>
      </c>
      <c r="CK1" s="25" t="s">
        <v>206</v>
      </c>
      <c r="CL1" s="25" t="s">
        <v>207</v>
      </c>
      <c r="CM1" s="25" t="s">
        <v>208</v>
      </c>
      <c r="CN1" s="25" t="s">
        <v>209</v>
      </c>
      <c r="CO1" s="25" t="s">
        <v>210</v>
      </c>
      <c r="CP1" s="25" t="s">
        <v>211</v>
      </c>
      <c r="CQ1" s="25" t="s">
        <v>212</v>
      </c>
      <c r="CR1" s="25" t="s">
        <v>213</v>
      </c>
      <c r="CS1" s="25" t="s">
        <v>214</v>
      </c>
      <c r="CT1" s="25" t="s">
        <v>215</v>
      </c>
      <c r="CU1" s="25" t="s">
        <v>216</v>
      </c>
      <c r="CV1" s="24"/>
      <c r="CW1" s="24"/>
      <c r="CX1" s="24"/>
      <c r="CY1" s="25" t="s">
        <v>217</v>
      </c>
      <c r="CZ1" s="25" t="s">
        <v>218</v>
      </c>
      <c r="DA1" s="25" t="s">
        <v>219</v>
      </c>
      <c r="DB1" s="25" t="s">
        <v>220</v>
      </c>
      <c r="DC1" s="25" t="s">
        <v>221</v>
      </c>
      <c r="DD1" s="25" t="s">
        <v>222</v>
      </c>
      <c r="DE1" s="25" t="s">
        <v>223</v>
      </c>
      <c r="DF1" s="25" t="s">
        <v>224</v>
      </c>
      <c r="DG1" s="25" t="s">
        <v>225</v>
      </c>
      <c r="DH1" s="25" t="s">
        <v>226</v>
      </c>
      <c r="DI1" s="25" t="s">
        <v>227</v>
      </c>
      <c r="DJ1" s="25" t="s">
        <v>228</v>
      </c>
      <c r="DK1" s="25" t="s">
        <v>229</v>
      </c>
      <c r="DL1" s="25" t="s">
        <v>230</v>
      </c>
      <c r="DM1" s="25" t="s">
        <v>231</v>
      </c>
      <c r="DN1" s="25" t="s">
        <v>232</v>
      </c>
      <c r="DO1" s="25" t="s">
        <v>233</v>
      </c>
      <c r="DP1" s="25" t="s">
        <v>234</v>
      </c>
      <c r="DQ1" s="25" t="s">
        <v>235</v>
      </c>
      <c r="DR1" s="25" t="s">
        <v>236</v>
      </c>
      <c r="DS1" s="25" t="s">
        <v>237</v>
      </c>
      <c r="DT1" s="25" t="s">
        <v>238</v>
      </c>
      <c r="DU1" s="25" t="s">
        <v>239</v>
      </c>
      <c r="DV1" s="25" t="s">
        <v>240</v>
      </c>
      <c r="DW1" s="25" t="s">
        <v>241</v>
      </c>
      <c r="DX1" s="25" t="s">
        <v>242</v>
      </c>
      <c r="DY1" s="25" t="s">
        <v>243</v>
      </c>
      <c r="DZ1" s="25" t="s">
        <v>244</v>
      </c>
      <c r="EA1" s="25" t="s">
        <v>245</v>
      </c>
      <c r="EB1" s="25" t="s">
        <v>246</v>
      </c>
      <c r="EC1" s="25" t="s">
        <v>247</v>
      </c>
      <c r="ED1" s="25" t="s">
        <v>248</v>
      </c>
      <c r="EE1" s="25" t="s">
        <v>249</v>
      </c>
      <c r="EF1" s="25" t="s">
        <v>250</v>
      </c>
      <c r="EG1" s="25" t="s">
        <v>251</v>
      </c>
      <c r="EH1" s="25" t="s">
        <v>252</v>
      </c>
      <c r="EI1" s="25" t="s">
        <v>253</v>
      </c>
      <c r="EJ1" s="25" t="s">
        <v>254</v>
      </c>
      <c r="EK1" s="25" t="s">
        <v>255</v>
      </c>
      <c r="EL1" s="25" t="s">
        <v>256</v>
      </c>
      <c r="EM1" s="25" t="s">
        <v>257</v>
      </c>
      <c r="EN1" s="25" t="s">
        <v>258</v>
      </c>
      <c r="EO1" s="25" t="s">
        <v>259</v>
      </c>
      <c r="EP1" s="25" t="s">
        <v>260</v>
      </c>
      <c r="EQ1" s="25" t="s">
        <v>261</v>
      </c>
      <c r="ER1" s="25" t="s">
        <v>262</v>
      </c>
      <c r="ES1" s="25" t="s">
        <v>263</v>
      </c>
      <c r="ET1" s="25" t="s">
        <v>264</v>
      </c>
      <c r="EU1" s="25" t="s">
        <v>265</v>
      </c>
      <c r="EV1" s="25" t="s">
        <v>266</v>
      </c>
      <c r="EW1" s="25" t="s">
        <v>267</v>
      </c>
      <c r="EX1" s="25" t="s">
        <v>268</v>
      </c>
      <c r="EY1" s="25" t="s">
        <v>269</v>
      </c>
      <c r="EZ1" s="25" t="s">
        <v>270</v>
      </c>
      <c r="FA1" s="25" t="s">
        <v>271</v>
      </c>
      <c r="FB1" s="25" t="s">
        <v>272</v>
      </c>
      <c r="FC1" s="25" t="s">
        <v>273</v>
      </c>
      <c r="FD1" s="25" t="s">
        <v>274</v>
      </c>
      <c r="FE1" s="25" t="s">
        <v>275</v>
      </c>
      <c r="FF1" s="25" t="s">
        <v>276</v>
      </c>
      <c r="FG1" s="25" t="s">
        <v>277</v>
      </c>
      <c r="FH1" s="25" t="s">
        <v>278</v>
      </c>
      <c r="FI1" s="25" t="s">
        <v>279</v>
      </c>
      <c r="FJ1" s="25" t="s">
        <v>280</v>
      </c>
      <c r="FK1" s="25" t="s">
        <v>281</v>
      </c>
      <c r="FL1" s="25" t="s">
        <v>282</v>
      </c>
      <c r="FM1" s="25" t="s">
        <v>283</v>
      </c>
      <c r="FN1" s="25" t="s">
        <v>284</v>
      </c>
      <c r="FO1" s="25" t="s">
        <v>285</v>
      </c>
      <c r="FP1" s="25" t="s">
        <v>286</v>
      </c>
      <c r="FQ1" s="25" t="s">
        <v>287</v>
      </c>
      <c r="FR1" s="25" t="s">
        <v>288</v>
      </c>
      <c r="FS1" s="25" t="s">
        <v>289</v>
      </c>
      <c r="FT1" s="25" t="s">
        <v>290</v>
      </c>
      <c r="FU1" s="25" t="s">
        <v>291</v>
      </c>
      <c r="FV1" s="25" t="s">
        <v>292</v>
      </c>
      <c r="FW1" s="25" t="s">
        <v>293</v>
      </c>
      <c r="FX1" s="25" t="s">
        <v>294</v>
      </c>
      <c r="FY1" s="25" t="s">
        <v>295</v>
      </c>
      <c r="FZ1" s="25" t="s">
        <v>296</v>
      </c>
      <c r="GA1" s="25" t="s">
        <v>297</v>
      </c>
      <c r="GB1" s="25" t="s">
        <v>298</v>
      </c>
      <c r="GC1" s="25" t="s">
        <v>299</v>
      </c>
      <c r="GD1" s="25" t="s">
        <v>300</v>
      </c>
      <c r="GE1" s="24"/>
      <c r="GF1" s="24"/>
      <c r="GG1" s="24"/>
      <c r="GH1" s="26"/>
      <c r="GI1" s="26"/>
      <c r="GJ1" s="26"/>
      <c r="GK1" s="26"/>
      <c r="GL1" s="26"/>
      <c r="GM1" s="26"/>
      <c r="GN1" s="26"/>
      <c r="GO1" s="26"/>
      <c r="GP1" s="26"/>
      <c r="GQ1" s="26"/>
      <c r="GR1" s="26"/>
      <c r="GS1" s="26"/>
      <c r="GT1" s="27"/>
      <c r="GU1" s="28"/>
      <c r="GV1" s="24"/>
      <c r="GW1" s="24"/>
      <c r="GX1" s="24"/>
      <c r="GY1" s="24"/>
      <c r="GZ1" s="24"/>
    </row>
    <row r="2">
      <c r="A2" s="29" t="s">
        <v>301</v>
      </c>
      <c r="B2" s="29">
        <f t="shared" ref="B2:C2" si="1">COUNTA(UNIQUE(B4:B1000))
</f>
        <v>7</v>
      </c>
      <c r="C2" s="29">
        <f t="shared" si="1"/>
        <v>7</v>
      </c>
      <c r="D2" s="30" t="s">
        <v>302</v>
      </c>
      <c r="E2" s="30" t="s">
        <v>303</v>
      </c>
      <c r="F2" s="31">
        <f>SUM(F4:F1000)/60</f>
        <v>0</v>
      </c>
      <c r="G2" s="22"/>
      <c r="H2" s="22"/>
      <c r="I2" s="32"/>
      <c r="J2" s="22"/>
      <c r="K2" s="33" t="s">
        <v>304</v>
      </c>
      <c r="L2" s="31">
        <f>SUM(L4:L1000)/60</f>
        <v>158.9333333</v>
      </c>
      <c r="M2" s="34">
        <f>roundup(sum(L585:L823)/60,0)</f>
        <v>0</v>
      </c>
      <c r="N2" s="34">
        <f>roundup(sum(L824:L1103)/60,0)</f>
        <v>0</v>
      </c>
      <c r="O2" s="34">
        <f>roundup(sum(L1000:L1104)/60,0)</f>
        <v>0</v>
      </c>
      <c r="P2" s="30"/>
      <c r="Q2" s="30"/>
      <c r="R2" s="30"/>
      <c r="S2" s="30"/>
      <c r="T2" s="30"/>
      <c r="U2" s="30"/>
      <c r="V2" s="30"/>
      <c r="W2" s="30"/>
      <c r="X2" s="30"/>
      <c r="Y2" s="30"/>
      <c r="Z2" s="30"/>
      <c r="AA2" s="30"/>
      <c r="AB2" s="30"/>
      <c r="AC2" s="30"/>
      <c r="AD2" s="30"/>
      <c r="AE2" s="35" t="s">
        <v>4</v>
      </c>
      <c r="AF2" s="36"/>
      <c r="AG2" s="36"/>
      <c r="AH2" s="36"/>
      <c r="AI2" s="36"/>
      <c r="AJ2" s="36"/>
      <c r="AK2" s="36"/>
      <c r="AL2" s="36"/>
      <c r="AM2" s="36"/>
      <c r="AN2" s="36"/>
      <c r="AO2" s="36"/>
      <c r="AP2" s="37"/>
      <c r="AQ2" s="38" t="s">
        <v>13</v>
      </c>
      <c r="AR2" s="36"/>
      <c r="AS2" s="36"/>
      <c r="AT2" s="36"/>
      <c r="AU2" s="36"/>
      <c r="AV2" s="36"/>
      <c r="AW2" s="36"/>
      <c r="AX2" s="36"/>
      <c r="AY2" s="36"/>
      <c r="AZ2" s="36"/>
      <c r="BA2" s="36"/>
      <c r="BB2" s="36"/>
      <c r="BC2" s="36"/>
      <c r="BD2" s="36"/>
      <c r="BE2" s="36"/>
      <c r="BF2" s="36"/>
      <c r="BG2" s="36"/>
      <c r="BH2" s="36"/>
      <c r="BI2" s="36"/>
      <c r="BJ2" s="36"/>
      <c r="BK2" s="37"/>
      <c r="BL2" s="39" t="s">
        <v>28</v>
      </c>
      <c r="BM2" s="36"/>
      <c r="BN2" s="36"/>
      <c r="BO2" s="36"/>
      <c r="BP2" s="36"/>
      <c r="BQ2" s="37"/>
      <c r="BR2" s="40" t="s">
        <v>33</v>
      </c>
      <c r="BS2" s="36"/>
      <c r="BT2" s="36"/>
      <c r="BU2" s="36"/>
      <c r="BV2" s="36"/>
      <c r="BW2" s="36"/>
      <c r="BX2" s="36"/>
      <c r="BY2" s="36"/>
      <c r="BZ2" s="37"/>
      <c r="CA2" s="41" t="s">
        <v>40</v>
      </c>
      <c r="CB2" s="36"/>
      <c r="CC2" s="36"/>
      <c r="CD2" s="36"/>
      <c r="CE2" s="36"/>
      <c r="CF2" s="36"/>
      <c r="CG2" s="36"/>
      <c r="CH2" s="36"/>
      <c r="CI2" s="36"/>
      <c r="CJ2" s="36"/>
      <c r="CK2" s="36"/>
      <c r="CL2" s="36"/>
      <c r="CM2" s="36"/>
      <c r="CN2" s="36"/>
      <c r="CO2" s="37"/>
      <c r="CP2" s="42" t="s">
        <v>51</v>
      </c>
      <c r="CQ2" s="36"/>
      <c r="CR2" s="36"/>
      <c r="CS2" s="36"/>
      <c r="CT2" s="36"/>
      <c r="CU2" s="36"/>
      <c r="CV2" s="36"/>
      <c r="CW2" s="36"/>
      <c r="CX2" s="36"/>
      <c r="CY2" s="36"/>
      <c r="CZ2" s="36"/>
      <c r="DA2" s="36"/>
      <c r="DB2" s="36"/>
      <c r="DC2" s="36"/>
      <c r="DD2" s="37"/>
      <c r="DE2" s="43" t="s">
        <v>60</v>
      </c>
      <c r="DF2" s="36"/>
      <c r="DG2" s="36"/>
      <c r="DH2" s="36"/>
      <c r="DI2" s="36"/>
      <c r="DJ2" s="36"/>
      <c r="DK2" s="36"/>
      <c r="DL2" s="36"/>
      <c r="DM2" s="36"/>
      <c r="DN2" s="36"/>
      <c r="DO2" s="36"/>
      <c r="DP2" s="37"/>
      <c r="DQ2" s="44" t="s">
        <v>69</v>
      </c>
      <c r="DR2" s="36"/>
      <c r="DS2" s="36"/>
      <c r="DT2" s="36"/>
      <c r="DU2" s="36"/>
      <c r="DV2" s="36"/>
      <c r="DW2" s="36"/>
      <c r="DX2" s="36"/>
      <c r="DY2" s="37"/>
      <c r="DZ2" s="45" t="s">
        <v>76</v>
      </c>
      <c r="EA2" s="36"/>
      <c r="EB2" s="36"/>
      <c r="EC2" s="36"/>
      <c r="ED2" s="36"/>
      <c r="EE2" s="36"/>
      <c r="EF2" s="36"/>
      <c r="EG2" s="36"/>
      <c r="EH2" s="36"/>
      <c r="EI2" s="36"/>
      <c r="EJ2" s="36"/>
      <c r="EK2" s="36"/>
      <c r="EL2" s="36"/>
      <c r="EM2" s="36"/>
      <c r="EN2" s="36"/>
      <c r="EO2" s="36"/>
      <c r="EP2" s="36"/>
      <c r="EQ2" s="36"/>
      <c r="ER2" s="36"/>
      <c r="ES2" s="36"/>
      <c r="ET2" s="37"/>
      <c r="EU2" s="46" t="s">
        <v>91</v>
      </c>
      <c r="EV2" s="36"/>
      <c r="EW2" s="36"/>
      <c r="EX2" s="36"/>
      <c r="EY2" s="36"/>
      <c r="EZ2" s="36"/>
      <c r="FA2" s="36"/>
      <c r="FB2" s="36"/>
      <c r="FC2" s="36"/>
      <c r="FD2" s="36"/>
      <c r="FE2" s="36"/>
      <c r="FF2" s="36"/>
      <c r="FG2" s="36"/>
      <c r="FH2" s="36"/>
      <c r="FI2" s="37"/>
      <c r="FJ2" s="47" t="s">
        <v>102</v>
      </c>
      <c r="FK2" s="36"/>
      <c r="FL2" s="36"/>
      <c r="FM2" s="36"/>
      <c r="FN2" s="36"/>
      <c r="FO2" s="36"/>
      <c r="FP2" s="36"/>
      <c r="FQ2" s="36"/>
      <c r="FR2" s="37"/>
      <c r="FS2" s="48" t="s">
        <v>109</v>
      </c>
      <c r="FT2" s="36"/>
      <c r="FU2" s="36"/>
      <c r="FV2" s="36"/>
      <c r="FW2" s="36"/>
      <c r="FX2" s="36"/>
      <c r="FY2" s="36"/>
      <c r="FZ2" s="36"/>
      <c r="GA2" s="36"/>
      <c r="GB2" s="36"/>
      <c r="GC2" s="36"/>
      <c r="GD2" s="37"/>
      <c r="GE2" s="49"/>
      <c r="GF2" s="49"/>
      <c r="GG2" s="49"/>
      <c r="GH2" s="49"/>
      <c r="GI2" s="49"/>
      <c r="GJ2" s="49"/>
      <c r="GK2" s="49"/>
      <c r="GL2" s="49"/>
      <c r="GM2" s="49"/>
      <c r="GN2" s="49"/>
      <c r="GO2" s="49"/>
      <c r="GP2" s="49"/>
      <c r="GQ2" s="50">
        <f>COUNTA(GQ4:GQ1000)
</f>
        <v>7</v>
      </c>
      <c r="GR2" s="51"/>
      <c r="GS2" s="24"/>
      <c r="GT2" s="24"/>
      <c r="GU2" s="24"/>
      <c r="GV2" s="24"/>
      <c r="GW2" s="24"/>
      <c r="GX2" s="24"/>
      <c r="GY2" s="24"/>
      <c r="GZ2" s="24"/>
    </row>
    <row r="3" ht="65.25" customHeight="1">
      <c r="A3" s="15" t="s">
        <v>305</v>
      </c>
      <c r="B3" s="15" t="s">
        <v>306</v>
      </c>
      <c r="C3" s="15" t="s">
        <v>307</v>
      </c>
      <c r="D3" s="15" t="s">
        <v>308</v>
      </c>
      <c r="E3" s="52" t="s">
        <v>309</v>
      </c>
      <c r="F3" s="52" t="s">
        <v>310</v>
      </c>
      <c r="G3" s="15" t="s">
        <v>311</v>
      </c>
      <c r="H3" s="15" t="s">
        <v>312</v>
      </c>
      <c r="I3" s="15" t="s">
        <v>313</v>
      </c>
      <c r="J3" s="30" t="s">
        <v>314</v>
      </c>
      <c r="K3" s="15" t="s">
        <v>315</v>
      </c>
      <c r="L3" s="15" t="s">
        <v>316</v>
      </c>
      <c r="M3" s="15" t="s">
        <v>317</v>
      </c>
      <c r="N3" s="15" t="s">
        <v>318</v>
      </c>
      <c r="O3" s="15" t="s">
        <v>319</v>
      </c>
      <c r="P3" s="15" t="s">
        <v>320</v>
      </c>
      <c r="Q3" s="15" t="s">
        <v>321</v>
      </c>
      <c r="R3" s="15" t="s">
        <v>322</v>
      </c>
      <c r="S3" s="15" t="s">
        <v>323</v>
      </c>
      <c r="T3" s="15" t="s">
        <v>324</v>
      </c>
      <c r="U3" s="15" t="s">
        <v>325</v>
      </c>
      <c r="V3" s="15" t="s">
        <v>326</v>
      </c>
      <c r="W3" s="15" t="s">
        <v>327</v>
      </c>
      <c r="X3" s="15" t="s">
        <v>328</v>
      </c>
      <c r="Y3" s="15" t="s">
        <v>329</v>
      </c>
      <c r="Z3" s="15" t="s">
        <v>330</v>
      </c>
      <c r="AA3" s="15" t="s">
        <v>331</v>
      </c>
      <c r="AB3" s="15" t="s">
        <v>332</v>
      </c>
      <c r="AC3" s="15" t="s">
        <v>333</v>
      </c>
      <c r="AD3" s="15" t="s">
        <v>334</v>
      </c>
      <c r="AE3" s="53" t="s">
        <v>335</v>
      </c>
      <c r="AF3" s="53" t="s">
        <v>336</v>
      </c>
      <c r="AG3" s="53" t="s">
        <v>337</v>
      </c>
      <c r="AH3" s="53" t="s">
        <v>338</v>
      </c>
      <c r="AI3" s="53" t="s">
        <v>339</v>
      </c>
      <c r="AJ3" s="53" t="s">
        <v>340</v>
      </c>
      <c r="AK3" s="53" t="s">
        <v>341</v>
      </c>
      <c r="AL3" s="53" t="s">
        <v>339</v>
      </c>
      <c r="AM3" s="53" t="s">
        <v>342</v>
      </c>
      <c r="AN3" s="53" t="s">
        <v>343</v>
      </c>
      <c r="AO3" s="53" t="s">
        <v>344</v>
      </c>
      <c r="AP3" s="53" t="s">
        <v>345</v>
      </c>
      <c r="AQ3" s="54" t="s">
        <v>346</v>
      </c>
      <c r="AR3" s="54" t="s">
        <v>347</v>
      </c>
      <c r="AS3" s="54" t="s">
        <v>348</v>
      </c>
      <c r="AT3" s="54" t="s">
        <v>349</v>
      </c>
      <c r="AU3" s="54" t="s">
        <v>350</v>
      </c>
      <c r="AV3" s="54" t="s">
        <v>351</v>
      </c>
      <c r="AW3" s="54" t="s">
        <v>352</v>
      </c>
      <c r="AX3" s="54" t="s">
        <v>353</v>
      </c>
      <c r="AY3" s="54" t="s">
        <v>354</v>
      </c>
      <c r="AZ3" s="54" t="s">
        <v>355</v>
      </c>
      <c r="BA3" s="54" t="s">
        <v>356</v>
      </c>
      <c r="BB3" s="54" t="s">
        <v>357</v>
      </c>
      <c r="BC3" s="54" t="s">
        <v>358</v>
      </c>
      <c r="BD3" s="54" t="s">
        <v>359</v>
      </c>
      <c r="BE3" s="54" t="s">
        <v>360</v>
      </c>
      <c r="BF3" s="54" t="s">
        <v>361</v>
      </c>
      <c r="BG3" s="54" t="s">
        <v>362</v>
      </c>
      <c r="BH3" s="54" t="s">
        <v>363</v>
      </c>
      <c r="BI3" s="54" t="s">
        <v>364</v>
      </c>
      <c r="BJ3" s="54" t="s">
        <v>365</v>
      </c>
      <c r="BK3" s="54" t="s">
        <v>366</v>
      </c>
      <c r="BL3" s="55" t="s">
        <v>367</v>
      </c>
      <c r="BM3" s="55" t="s">
        <v>368</v>
      </c>
      <c r="BN3" s="55" t="s">
        <v>369</v>
      </c>
      <c r="BO3" s="55" t="s">
        <v>370</v>
      </c>
      <c r="BP3" s="55" t="s">
        <v>371</v>
      </c>
      <c r="BQ3" s="55" t="s">
        <v>372</v>
      </c>
      <c r="BR3" s="56" t="s">
        <v>373</v>
      </c>
      <c r="BS3" s="56" t="s">
        <v>374</v>
      </c>
      <c r="BT3" s="56" t="s">
        <v>375</v>
      </c>
      <c r="BU3" s="57" t="s">
        <v>36</v>
      </c>
      <c r="BV3" s="56" t="s">
        <v>376</v>
      </c>
      <c r="BW3" s="56" t="s">
        <v>377</v>
      </c>
      <c r="BX3" s="58" t="s">
        <v>38</v>
      </c>
      <c r="BY3" s="59" t="s">
        <v>378</v>
      </c>
      <c r="BZ3" s="59" t="s">
        <v>379</v>
      </c>
      <c r="CA3" s="60" t="s">
        <v>380</v>
      </c>
      <c r="CB3" s="60" t="s">
        <v>378</v>
      </c>
      <c r="CC3" s="60" t="s">
        <v>379</v>
      </c>
      <c r="CD3" s="60" t="s">
        <v>381</v>
      </c>
      <c r="CE3" s="60" t="s">
        <v>382</v>
      </c>
      <c r="CF3" s="60" t="s">
        <v>383</v>
      </c>
      <c r="CG3" s="60" t="s">
        <v>384</v>
      </c>
      <c r="CH3" s="60" t="s">
        <v>385</v>
      </c>
      <c r="CI3" s="60" t="s">
        <v>386</v>
      </c>
      <c r="CJ3" s="60" t="s">
        <v>387</v>
      </c>
      <c r="CK3" s="60" t="s">
        <v>388</v>
      </c>
      <c r="CL3" s="60" t="s">
        <v>389</v>
      </c>
      <c r="CM3" s="60" t="s">
        <v>390</v>
      </c>
      <c r="CN3" s="60" t="s">
        <v>391</v>
      </c>
      <c r="CO3" s="60" t="s">
        <v>392</v>
      </c>
      <c r="CP3" s="61" t="s">
        <v>393</v>
      </c>
      <c r="CQ3" s="61" t="s">
        <v>394</v>
      </c>
      <c r="CR3" s="61" t="s">
        <v>395</v>
      </c>
      <c r="CS3" s="61" t="s">
        <v>396</v>
      </c>
      <c r="CT3" s="61" t="s">
        <v>397</v>
      </c>
      <c r="CU3" s="61" t="s">
        <v>398</v>
      </c>
      <c r="CV3" s="62" t="s">
        <v>399</v>
      </c>
      <c r="CW3" s="62" t="s">
        <v>400</v>
      </c>
      <c r="CX3" s="62" t="s">
        <v>401</v>
      </c>
      <c r="CY3" s="61" t="s">
        <v>56</v>
      </c>
      <c r="CZ3" s="61" t="s">
        <v>402</v>
      </c>
      <c r="DA3" s="61" t="s">
        <v>403</v>
      </c>
      <c r="DB3" s="61" t="s">
        <v>404</v>
      </c>
      <c r="DC3" s="61" t="s">
        <v>405</v>
      </c>
      <c r="DD3" s="61" t="s">
        <v>406</v>
      </c>
      <c r="DE3" s="63" t="s">
        <v>407</v>
      </c>
      <c r="DF3" s="63" t="s">
        <v>408</v>
      </c>
      <c r="DG3" s="63" t="s">
        <v>409</v>
      </c>
      <c r="DH3" s="63" t="s">
        <v>410</v>
      </c>
      <c r="DI3" s="63" t="s">
        <v>411</v>
      </c>
      <c r="DJ3" s="63" t="s">
        <v>412</v>
      </c>
      <c r="DK3" s="63" t="s">
        <v>413</v>
      </c>
      <c r="DL3" s="63" t="s">
        <v>414</v>
      </c>
      <c r="DM3" s="63" t="s">
        <v>415</v>
      </c>
      <c r="DN3" s="63" t="s">
        <v>416</v>
      </c>
      <c r="DO3" s="63" t="s">
        <v>417</v>
      </c>
      <c r="DP3" s="63" t="s">
        <v>418</v>
      </c>
      <c r="DQ3" s="64" t="s">
        <v>419</v>
      </c>
      <c r="DR3" s="64" t="s">
        <v>420</v>
      </c>
      <c r="DS3" s="64" t="s">
        <v>421</v>
      </c>
      <c r="DT3" s="64" t="s">
        <v>422</v>
      </c>
      <c r="DU3" s="64" t="s">
        <v>423</v>
      </c>
      <c r="DV3" s="64" t="s">
        <v>424</v>
      </c>
      <c r="DW3" s="64" t="s">
        <v>425</v>
      </c>
      <c r="DX3" s="64" t="s">
        <v>426</v>
      </c>
      <c r="DY3" s="64" t="s">
        <v>427</v>
      </c>
      <c r="DZ3" s="65" t="s">
        <v>428</v>
      </c>
      <c r="EA3" s="65" t="s">
        <v>429</v>
      </c>
      <c r="EB3" s="65" t="s">
        <v>430</v>
      </c>
      <c r="EC3" s="65" t="s">
        <v>431</v>
      </c>
      <c r="ED3" s="65" t="s">
        <v>432</v>
      </c>
      <c r="EE3" s="65" t="s">
        <v>433</v>
      </c>
      <c r="EF3" s="65" t="s">
        <v>434</v>
      </c>
      <c r="EG3" s="65" t="s">
        <v>435</v>
      </c>
      <c r="EH3" s="65" t="s">
        <v>436</v>
      </c>
      <c r="EI3" s="65" t="s">
        <v>437</v>
      </c>
      <c r="EJ3" s="65" t="s">
        <v>438</v>
      </c>
      <c r="EK3" s="65" t="s">
        <v>439</v>
      </c>
      <c r="EL3" s="65" t="s">
        <v>440</v>
      </c>
      <c r="EM3" s="65" t="s">
        <v>441</v>
      </c>
      <c r="EN3" s="65" t="s">
        <v>442</v>
      </c>
      <c r="EO3" s="65" t="s">
        <v>443</v>
      </c>
      <c r="EP3" s="65" t="s">
        <v>444</v>
      </c>
      <c r="EQ3" s="65" t="s">
        <v>445</v>
      </c>
      <c r="ER3" s="59" t="s">
        <v>89</v>
      </c>
      <c r="ES3" s="59" t="s">
        <v>446</v>
      </c>
      <c r="ET3" s="59" t="s">
        <v>447</v>
      </c>
      <c r="EU3" s="66" t="s">
        <v>448</v>
      </c>
      <c r="EV3" s="66" t="s">
        <v>446</v>
      </c>
      <c r="EW3" s="66" t="s">
        <v>447</v>
      </c>
      <c r="EX3" s="66" t="s">
        <v>449</v>
      </c>
      <c r="EY3" s="66" t="s">
        <v>450</v>
      </c>
      <c r="EZ3" s="66" t="s">
        <v>451</v>
      </c>
      <c r="FA3" s="66" t="s">
        <v>452</v>
      </c>
      <c r="FB3" s="66" t="s">
        <v>453</v>
      </c>
      <c r="FC3" s="66" t="s">
        <v>454</v>
      </c>
      <c r="FD3" s="66" t="s">
        <v>455</v>
      </c>
      <c r="FE3" s="66" t="s">
        <v>456</v>
      </c>
      <c r="FF3" s="66" t="s">
        <v>457</v>
      </c>
      <c r="FG3" s="66" t="s">
        <v>458</v>
      </c>
      <c r="FH3" s="66" t="s">
        <v>459</v>
      </c>
      <c r="FI3" s="66" t="s">
        <v>460</v>
      </c>
      <c r="FJ3" s="67" t="s">
        <v>461</v>
      </c>
      <c r="FK3" s="67" t="s">
        <v>462</v>
      </c>
      <c r="FL3" s="67" t="s">
        <v>463</v>
      </c>
      <c r="FM3" s="67" t="s">
        <v>464</v>
      </c>
      <c r="FN3" s="67" t="s">
        <v>465</v>
      </c>
      <c r="FO3" s="67" t="s">
        <v>466</v>
      </c>
      <c r="FP3" s="67" t="s">
        <v>467</v>
      </c>
      <c r="FQ3" s="67" t="s">
        <v>468</v>
      </c>
      <c r="FR3" s="67" t="s">
        <v>469</v>
      </c>
      <c r="FS3" s="68" t="s">
        <v>470</v>
      </c>
      <c r="FT3" s="68" t="s">
        <v>471</v>
      </c>
      <c r="FU3" s="68" t="s">
        <v>472</v>
      </c>
      <c r="FV3" s="68" t="s">
        <v>473</v>
      </c>
      <c r="FW3" s="68" t="s">
        <v>474</v>
      </c>
      <c r="FX3" s="68" t="s">
        <v>475</v>
      </c>
      <c r="FY3" s="68" t="s">
        <v>476</v>
      </c>
      <c r="FZ3" s="68" t="s">
        <v>477</v>
      </c>
      <c r="GA3" s="68" t="s">
        <v>478</v>
      </c>
      <c r="GB3" s="68" t="s">
        <v>479</v>
      </c>
      <c r="GC3" s="68" t="s">
        <v>480</v>
      </c>
      <c r="GD3" s="68" t="s">
        <v>481</v>
      </c>
      <c r="GE3" s="69" t="str">
        <f>IFERROR(SUM(R[0]C[-156],R[0]C[-153],R[0]C[-150],R[0]C[-147])/COUNT(R[0]C[-156],R[0]C[-153],R[0]C[-150],R[0]C[-147]),"Установление контакта")</f>
        <v>#ERROR!</v>
      </c>
      <c r="GF3" s="70" t="str">
        <f>IFERROR(SUM(R[0]C[-145],R[0]C[-142],R[0]C[-139],R[0]C[-136],R[0]C[-133],R[0]C[-130],R[0]C[-127])/COUNT(R[0]C[-145],R[0]C[-142],R[0]C[-139],R[0]C[-136],R[0]C[-133],R[0]C[-130],R[0]C[-127]),"Выявление потребностей")</f>
        <v>#ERROR!</v>
      </c>
      <c r="GG3" s="71" t="str">
        <f>IFERROR(SUM(R[0]C[-125],R[0]C[-122])/COUNT(R[0]C[-125],R[0]C[-122]),"Презентация продукта")</f>
        <v>#ERROR!</v>
      </c>
      <c r="GH3" s="72" t="str">
        <f>IFERROR(SUM(R[0]C[-120],R[0]C[-117])/COUNT(R[0]C[-120],R[0]C[-117]),"Предзакрытие и ФОМО")</f>
        <v>#ERROR!</v>
      </c>
      <c r="GI3" s="73" t="str">
        <f>IFERROR(SUM(R[0]C[-112],R[0]C[-109],R[0]C[-106],R[0]C[-103],R[0]C[-100])/COUNT(R[0]C[-112],R[0]C[-109],R[0]C[-106],R[0]C[-103],R[0]C[-100]),"Отработка возражений")</f>
        <v>#ERROR!</v>
      </c>
      <c r="GJ3" s="74" t="str">
        <f>IFERROR(SUM(R[0]C[-98],R[0]C[-95],R[0]C[-92],R[0]C[-89],R[0]C[-86])/COUNT(R[0]C[-98],R[0]C[-95],R[0]C[-92],R[0]C[-89],R[0]C[-86]),"Этап оплаты")</f>
        <v>#ERROR!</v>
      </c>
      <c r="GK3" s="75" t="str">
        <f>IFERROR(SUM(R[0]C[-84],R[0]C[-81],R[0]C[-78],R[0]C[-75])/COUNT(R[0]C[-84],R[0]C[-81],R[0]C[-78],R[0]C[-75]),"Стандарты общения")</f>
        <v>#ERROR!</v>
      </c>
      <c r="GL3" s="76" t="str">
        <f>IFERROR(SUM(R[0]C[-73],R[0]C[-70],R[0]C[-67])/COUNT(R[0]C[-73],R[0]C[-70],R[0]C[-67]),"Критические ошибки")</f>
        <v>#ERROR!</v>
      </c>
      <c r="GM3" s="77" t="str">
        <f>IFERROR(SUM(R[0]C[-65],R[0]C[-62],R[0]C[-59],R[0]C[-56],R[0]C[-53],R[0]C[-50])/COUNT(R[0]C[-65],R[0]C[-62],R[0]C[-59],R[0]C[-56],R[0]C[-53],R[0]C[-50]),"Экспертный блок")</f>
        <v>#ERROR!</v>
      </c>
      <c r="GN3" s="78" t="str">
        <f>IFERROR(SUM(R[0]C[-45],R[0]C[-42],R[0]C[-39],R[0]C[-36],R[0]C[-33])/COUNT(R[0]C[-45],R[0]C[-42],R[0]C[-39],R[0]C[-36],R[0]C[-33]),"Рекомендации")</f>
        <v>#ERROR!</v>
      </c>
      <c r="GO3" s="79" t="str">
        <f>IFERROR(SUM(R[0]C[-31],R[0]C[-28],R[0]C[-25])/COUNT(R[0]C[-31],R[0]C[-28],R[0]C[-25]),"Фильтры")</f>
        <v>#ERROR!</v>
      </c>
      <c r="GP3" s="80" t="str">
        <f>IFERROR(SUM(R[0]C[-23],R[0]C[-20],R[0]C[-17],R[0]C[-14])/COUNT(R[0]C[-23],R[0]C[-20],R[0]C[-17],R[0]C[-14]),"Скоринг")</f>
        <v>#ERROR!</v>
      </c>
      <c r="GQ3" s="81" t="s">
        <v>482</v>
      </c>
      <c r="GR3" s="82" t="s">
        <v>483</v>
      </c>
      <c r="GS3" s="83" t="s">
        <v>484</v>
      </c>
      <c r="GT3" s="83" t="s">
        <v>485</v>
      </c>
      <c r="GU3" s="83" t="s">
        <v>486</v>
      </c>
      <c r="GV3" s="83" t="s">
        <v>487</v>
      </c>
      <c r="GW3" s="84" t="s">
        <v>488</v>
      </c>
      <c r="GX3" s="85"/>
      <c r="GY3" s="85"/>
      <c r="GZ3" s="85"/>
    </row>
    <row r="4" ht="24.0" customHeight="1">
      <c r="A4" s="34">
        <v>1.0</v>
      </c>
      <c r="B4" s="33" t="s">
        <v>489</v>
      </c>
      <c r="C4" s="86" t="s">
        <v>490</v>
      </c>
      <c r="D4" s="33" t="s">
        <v>491</v>
      </c>
      <c r="E4" s="30"/>
      <c r="F4" s="30"/>
      <c r="G4" s="30"/>
      <c r="H4" s="30"/>
      <c r="I4" s="33" t="s">
        <v>492</v>
      </c>
      <c r="J4" s="30"/>
      <c r="K4" s="87" t="s">
        <v>493</v>
      </c>
      <c r="L4" s="34">
        <v>1092.0</v>
      </c>
      <c r="M4" s="33" t="s">
        <v>494</v>
      </c>
      <c r="N4" s="87" t="s">
        <v>495</v>
      </c>
      <c r="O4" s="33" t="s">
        <v>496</v>
      </c>
      <c r="P4" s="33" t="s">
        <v>497</v>
      </c>
      <c r="Q4" s="33" t="s">
        <v>498</v>
      </c>
      <c r="R4" s="34">
        <v>28.0</v>
      </c>
      <c r="S4" s="34">
        <v>1.5237002E7</v>
      </c>
      <c r="T4" s="33" t="s">
        <v>499</v>
      </c>
      <c r="U4" s="33" t="s">
        <v>500</v>
      </c>
      <c r="V4" s="33" t="s">
        <v>501</v>
      </c>
      <c r="W4" s="34">
        <v>1.2651206E7</v>
      </c>
      <c r="X4" s="30"/>
      <c r="Y4" s="33" t="s">
        <v>502</v>
      </c>
      <c r="Z4" s="33" t="s">
        <v>503</v>
      </c>
      <c r="AA4" s="33" t="s">
        <v>504</v>
      </c>
      <c r="AB4" s="86" t="s">
        <v>505</v>
      </c>
      <c r="AC4" s="34">
        <v>1.3271835E7</v>
      </c>
      <c r="AD4" s="33" t="s">
        <v>506</v>
      </c>
      <c r="AE4" s="34">
        <v>1.0</v>
      </c>
      <c r="AF4" s="33" t="s">
        <v>507</v>
      </c>
      <c r="AG4" s="33" t="s">
        <v>508</v>
      </c>
      <c r="AH4" s="34">
        <v>1.0</v>
      </c>
      <c r="AI4" s="33" t="s">
        <v>509</v>
      </c>
      <c r="AJ4" s="33" t="s">
        <v>510</v>
      </c>
      <c r="AK4" s="30" t="s">
        <v>511</v>
      </c>
      <c r="AL4" s="33" t="s">
        <v>512</v>
      </c>
      <c r="AM4" s="33" t="s">
        <v>513</v>
      </c>
      <c r="AN4" s="30" t="s">
        <v>511</v>
      </c>
      <c r="AO4" s="33" t="s">
        <v>514</v>
      </c>
      <c r="AP4" s="30" t="s">
        <v>511</v>
      </c>
      <c r="AQ4" s="34">
        <v>1.0</v>
      </c>
      <c r="AR4" s="33" t="s">
        <v>515</v>
      </c>
      <c r="AS4" s="33" t="s">
        <v>516</v>
      </c>
      <c r="AT4" s="34">
        <v>1.0</v>
      </c>
      <c r="AU4" s="33" t="s">
        <v>517</v>
      </c>
      <c r="AV4" s="33" t="s">
        <v>518</v>
      </c>
      <c r="AW4" s="34">
        <v>1.0</v>
      </c>
      <c r="AX4" s="33" t="s">
        <v>519</v>
      </c>
      <c r="AY4" s="33" t="s">
        <v>520</v>
      </c>
      <c r="AZ4" s="34">
        <v>1.0</v>
      </c>
      <c r="BA4" s="33" t="s">
        <v>521</v>
      </c>
      <c r="BB4" s="33" t="s">
        <v>522</v>
      </c>
      <c r="BC4" s="34">
        <v>0.0</v>
      </c>
      <c r="BD4" s="33" t="s">
        <v>523</v>
      </c>
      <c r="BE4" s="33" t="s">
        <v>524</v>
      </c>
      <c r="BF4" s="34">
        <v>1.0</v>
      </c>
      <c r="BG4" s="33" t="s">
        <v>525</v>
      </c>
      <c r="BH4" s="33" t="s">
        <v>526</v>
      </c>
      <c r="BI4" s="34">
        <v>1.0</v>
      </c>
      <c r="BJ4" s="33" t="s">
        <v>527</v>
      </c>
      <c r="BK4" s="33" t="s">
        <v>528</v>
      </c>
      <c r="BL4" s="34">
        <v>1.0</v>
      </c>
      <c r="BM4" s="33" t="s">
        <v>529</v>
      </c>
      <c r="BN4" s="33" t="s">
        <v>530</v>
      </c>
      <c r="BO4" s="34">
        <v>1.0</v>
      </c>
      <c r="BP4" s="33" t="s">
        <v>531</v>
      </c>
      <c r="BQ4" s="33" t="s">
        <v>532</v>
      </c>
      <c r="BR4" s="34">
        <v>0.0</v>
      </c>
      <c r="BS4" s="33" t="s">
        <v>533</v>
      </c>
      <c r="BT4" s="33" t="s">
        <v>534</v>
      </c>
      <c r="BU4" s="34">
        <v>0.0</v>
      </c>
      <c r="BV4" s="33" t="s">
        <v>535</v>
      </c>
      <c r="BW4" s="33" t="s">
        <v>536</v>
      </c>
      <c r="BX4" s="30"/>
      <c r="BY4" s="30"/>
      <c r="BZ4" s="30"/>
      <c r="CA4" s="34">
        <v>0.0</v>
      </c>
      <c r="CB4" s="33" t="s">
        <v>537</v>
      </c>
      <c r="CC4" s="33" t="s">
        <v>513</v>
      </c>
      <c r="CD4" s="30" t="s">
        <v>511</v>
      </c>
      <c r="CE4" s="33" t="s">
        <v>538</v>
      </c>
      <c r="CF4" s="30" t="s">
        <v>511</v>
      </c>
      <c r="CG4" s="30" t="s">
        <v>511</v>
      </c>
      <c r="CH4" s="33" t="s">
        <v>539</v>
      </c>
      <c r="CI4" s="30" t="s">
        <v>511</v>
      </c>
      <c r="CJ4" s="34">
        <v>0.0</v>
      </c>
      <c r="CK4" s="33" t="s">
        <v>540</v>
      </c>
      <c r="CL4" s="30" t="s">
        <v>511</v>
      </c>
      <c r="CM4" s="34">
        <v>0.0</v>
      </c>
      <c r="CN4" s="33" t="s">
        <v>541</v>
      </c>
      <c r="CO4" s="33" t="s">
        <v>542</v>
      </c>
      <c r="CP4" s="30" t="s">
        <v>511</v>
      </c>
      <c r="CQ4" s="33" t="s">
        <v>543</v>
      </c>
      <c r="CR4" s="30" t="s">
        <v>511</v>
      </c>
      <c r="CS4" s="30" t="s">
        <v>511</v>
      </c>
      <c r="CT4" s="33" t="s">
        <v>544</v>
      </c>
      <c r="CU4" s="30" t="s">
        <v>511</v>
      </c>
      <c r="CV4" s="30" t="s">
        <v>511</v>
      </c>
      <c r="CW4" s="33" t="s">
        <v>545</v>
      </c>
      <c r="CX4" s="30" t="s">
        <v>511</v>
      </c>
      <c r="CY4" s="30" t="s">
        <v>511</v>
      </c>
      <c r="CZ4" s="33" t="s">
        <v>546</v>
      </c>
      <c r="DA4" s="30" t="s">
        <v>511</v>
      </c>
      <c r="DB4" s="34">
        <v>1.0</v>
      </c>
      <c r="DC4" s="33" t="s">
        <v>547</v>
      </c>
      <c r="DD4" s="33" t="s">
        <v>548</v>
      </c>
      <c r="DE4" s="34">
        <v>0.0</v>
      </c>
      <c r="DF4" s="33" t="s">
        <v>549</v>
      </c>
      <c r="DG4" s="30" t="s">
        <v>511</v>
      </c>
      <c r="DH4" s="34">
        <v>1.0</v>
      </c>
      <c r="DI4" s="33" t="s">
        <v>550</v>
      </c>
      <c r="DJ4" s="33" t="s">
        <v>551</v>
      </c>
      <c r="DK4" s="34">
        <v>1.0</v>
      </c>
      <c r="DL4" s="33" t="s">
        <v>552</v>
      </c>
      <c r="DM4" s="33" t="s">
        <v>553</v>
      </c>
      <c r="DN4" s="34">
        <v>1.0</v>
      </c>
      <c r="DO4" s="33" t="s">
        <v>554</v>
      </c>
      <c r="DP4" s="33" t="s">
        <v>555</v>
      </c>
      <c r="DQ4" s="34">
        <v>0.0</v>
      </c>
      <c r="DR4" s="33" t="s">
        <v>556</v>
      </c>
      <c r="DS4" s="33" t="s">
        <v>557</v>
      </c>
      <c r="DT4" s="34">
        <v>0.0</v>
      </c>
      <c r="DU4" s="33" t="s">
        <v>558</v>
      </c>
      <c r="DV4" s="30" t="s">
        <v>511</v>
      </c>
      <c r="DW4" s="34">
        <v>0.0</v>
      </c>
      <c r="DX4" s="33" t="s">
        <v>559</v>
      </c>
      <c r="DY4" s="30" t="s">
        <v>511</v>
      </c>
      <c r="DZ4" s="34">
        <v>83.0</v>
      </c>
      <c r="EA4" s="33" t="s">
        <v>560</v>
      </c>
      <c r="EB4" s="30" t="s">
        <v>511</v>
      </c>
      <c r="EC4" s="34">
        <v>35.0</v>
      </c>
      <c r="ED4" s="33" t="s">
        <v>561</v>
      </c>
      <c r="EE4" s="30" t="s">
        <v>511</v>
      </c>
      <c r="EF4" s="34">
        <v>0.0</v>
      </c>
      <c r="EG4" s="33" t="s">
        <v>562</v>
      </c>
      <c r="EH4" s="30" t="s">
        <v>511</v>
      </c>
      <c r="EI4" s="34">
        <v>0.0</v>
      </c>
      <c r="EJ4" s="33" t="s">
        <v>563</v>
      </c>
      <c r="EK4" s="30" t="s">
        <v>511</v>
      </c>
      <c r="EL4" s="34">
        <v>0.0</v>
      </c>
      <c r="EM4" s="33" t="s">
        <v>564</v>
      </c>
      <c r="EN4" s="30" t="s">
        <v>511</v>
      </c>
      <c r="EO4" s="30" t="s">
        <v>511</v>
      </c>
      <c r="EP4" s="33" t="s">
        <v>565</v>
      </c>
      <c r="EQ4" s="30" t="s">
        <v>511</v>
      </c>
      <c r="ER4" s="30"/>
      <c r="ES4" s="30"/>
      <c r="ET4" s="30"/>
      <c r="EU4" s="34">
        <v>0.0</v>
      </c>
      <c r="EV4" s="33" t="s">
        <v>566</v>
      </c>
      <c r="EW4" s="30" t="s">
        <v>511</v>
      </c>
      <c r="EX4" s="34">
        <v>0.0</v>
      </c>
      <c r="EY4" s="33" t="s">
        <v>567</v>
      </c>
      <c r="EZ4" s="30" t="s">
        <v>511</v>
      </c>
      <c r="FA4" s="34">
        <v>0.0</v>
      </c>
      <c r="FB4" s="33" t="s">
        <v>568</v>
      </c>
      <c r="FC4" s="30" t="s">
        <v>511</v>
      </c>
      <c r="FD4" s="34">
        <v>0.0</v>
      </c>
      <c r="FE4" s="33" t="s">
        <v>569</v>
      </c>
      <c r="FF4" s="30" t="s">
        <v>511</v>
      </c>
      <c r="FG4" s="34">
        <v>0.0</v>
      </c>
      <c r="FH4" s="33" t="s">
        <v>570</v>
      </c>
      <c r="FI4" s="30" t="s">
        <v>511</v>
      </c>
      <c r="FJ4" s="34">
        <v>1.0</v>
      </c>
      <c r="FK4" s="33" t="s">
        <v>571</v>
      </c>
      <c r="FL4" s="33" t="s">
        <v>572</v>
      </c>
      <c r="FM4" s="34">
        <v>0.0</v>
      </c>
      <c r="FN4" s="33" t="s">
        <v>573</v>
      </c>
      <c r="FO4" s="33" t="s">
        <v>574</v>
      </c>
      <c r="FP4" s="34">
        <v>0.0</v>
      </c>
      <c r="FQ4" s="33" t="s">
        <v>575</v>
      </c>
      <c r="FR4" s="30" t="s">
        <v>511</v>
      </c>
      <c r="FS4" s="34">
        <v>8.0</v>
      </c>
      <c r="FT4" s="33" t="s">
        <v>576</v>
      </c>
      <c r="FU4" s="33" t="s">
        <v>577</v>
      </c>
      <c r="FV4" s="34">
        <v>7.0</v>
      </c>
      <c r="FW4" s="33" t="s">
        <v>578</v>
      </c>
      <c r="FX4" s="33" t="s">
        <v>579</v>
      </c>
      <c r="FY4" s="34">
        <v>9.0</v>
      </c>
      <c r="FZ4" s="33" t="s">
        <v>580</v>
      </c>
      <c r="GA4" s="33" t="s">
        <v>581</v>
      </c>
      <c r="GB4" s="34">
        <v>24.0</v>
      </c>
      <c r="GC4" s="33" t="s">
        <v>582</v>
      </c>
      <c r="GD4" s="30" t="s">
        <v>511</v>
      </c>
      <c r="GE4" s="88" t="str">
        <f>IFERROR(SUM(R[0]C[-156],R[0]C[-153],R[0]C[-150],R[0]C[-147])/COUNT(R[0]C[-156],R[0]C[-153],R[0]C[-150],R[0]C[-147]),"Установление контакта")</f>
        <v>#ERROR!</v>
      </c>
      <c r="GF4" s="88" t="str">
        <f>IFERROR(SUM(R[0]C[-145],R[0]C[-142],R[0]C[-139],R[0]C[-136],R[0]C[-133],R[0]C[-130],R[0]C[-127])/COUNT(R[0]C[-145],R[0]C[-142],R[0]C[-139],R[0]C[-136],R[0]C[-133],R[0]C[-130],R[0]C[-127]),"Выявление потребностей")</f>
        <v>#ERROR!</v>
      </c>
      <c r="GG4" s="88" t="str">
        <f>IFERROR(SUM(R[0]C[-125],R[0]C[-122])/COUNT(R[0]C[-125],R[0]C[-122]),"Презентация продукта")</f>
        <v>#ERROR!</v>
      </c>
      <c r="GH4" s="88" t="str">
        <f>IFERROR(SUM(R[0]C[-120],R[0]C[-117])/COUNT(R[0]C[-120],R[0]C[-117]),"Предзакрытие и ФОМО")</f>
        <v>#ERROR!</v>
      </c>
      <c r="GI4" s="88" t="str">
        <f>IFERROR(SUM(R[0]C[-109],R[0]C[-106])/COUNT(R[0]C[-109],R[0]C[-106]),"Отработка возражений")</f>
        <v>#ERROR!</v>
      </c>
      <c r="GJ4" s="88" t="str">
        <f>IFERROR(SUM(R[0]C[-98],R[0]C[-95],R[0]C[-92],R[0]C[-89],R[0]C[-86])/COUNT(R[0]C[-98],R[0]C[-95],R[0]C[-92],R[0]C[-89],R[0]C[-86]),"Этап оплаты")</f>
        <v>#ERROR!</v>
      </c>
      <c r="GK4" s="88" t="str">
        <f>IFERROR(SUM(R[0]C[-84],R[0]C[-81],R[0]C[-78],R[0]C[-75])/COUNT(R[0]C[-84],R[0]C[-81],R[0]C[-78],R[0]C[-75]),"Стандарты общения")</f>
        <v>#ERROR!</v>
      </c>
      <c r="GL4" s="88" t="str">
        <f>IFERROR(SUM(R[0]C[-73],R[0]C[-70],R[0]C[-67])/COUNT(R[0]C[-73],R[0]C[-70],R[0]C[-67]),"Критические ошибки")</f>
        <v>#ERROR!</v>
      </c>
      <c r="GM4" s="89" t="str">
        <f>IFERROR(R[0]C[-62]/50,"Экспертный блок  🧠 стратегический слой: методологии 🧰 тактический: структура и фразы 🧍 поведенческий: мотивация клиента 💳 финансовый: дожим и потери")</f>
        <v>#ERROR!</v>
      </c>
      <c r="GN4" s="88" t="str">
        <f>IFERROR(SUM(R[0]C[-45],R[0]C[-42],R[0]C[-39],R[0]C[-36],R[0]C[-33])/COUNT(R[0]C[-45],R[0]C[-42],R[0]C[-39],R[0]C[-36],R[0]C[-33]),"Рекомендации")</f>
        <v>#ERROR!</v>
      </c>
      <c r="GO4" s="88" t="str">
        <f>IFERROR(SUM(R[0]C[-31],R[0]C[-28],R[0]C[-25])/COUNT(R[0]C[-31],R[0]C[-28],R[0]C[-25]),"Фильтры")</f>
        <v>#ERROR!</v>
      </c>
      <c r="GP4" s="89" t="str">
        <f>IFERROR(SUM(R[0]C[-23],R[0]C[-20],R[0]C[-17])/COUNT(R[0]C[-23],R[0]C[-20],R[0]C[-17]),"Скоринг")</f>
        <v>#ERROR!</v>
      </c>
      <c r="GQ4" s="90" t="str">
        <f>IFERROR(
SUM(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
COUNT(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f>
        <v>#ERROR!</v>
      </c>
      <c r="GR4" s="91" t="str">
        <f t="shared" ref="GR4:GR10" si="2">L4/hidden!A3</f>
        <v>#REF!</v>
      </c>
      <c r="GS4" s="92" t="str">
        <f>IF((R[0]C[-26]+R[0]C[-23]+R[0]C[-20])&lt;hidden!R[-1]C[-199],hidden!R[-1]C[-197], IF((R[0]C[-26]+R[0]C[-23]+R[0]C[-20])&lt;hidden!R[-1]C[-198],hidden!R[-1]C[-196],hidden!R[-1]C[-195]))</f>
        <v>#ERROR!</v>
      </c>
      <c r="GT4" s="92" t="str">
        <f>IF(R[0]C[-27]&lt;=hidden!R[-1]C[-195],hidden!R[-1]C[-193], IF(R[0]C[-27]&lt;=hidden!R[-1]C[-194],hidden!R[-1]C[-192],hidden!R[-1]C[-191]))</f>
        <v>#ERROR!</v>
      </c>
      <c r="GU4" s="92" t="str">
        <f>IF(R[0]C[-25]&lt;=hidden!R[-1]C[-196],hidden!R[-1]C[-194], IF(R[0]C[-25]&lt;=hidden!R[-1]C[-195],hidden!R[-1]C[-193],hidden!R[-1]C[-192]))</f>
        <v>#ERROR!</v>
      </c>
      <c r="GV4" s="93" t="str">
        <f>IF(R[0]C[-23]&lt;=hidden!R[-1]C[-197],hidden!R[-1]C[-195], IF(R[0]C[-23]&lt;=hidden!R[-1]C[-196],hidden!R[-1]C[-194],hidden!R[-1]C[-193]))</f>
        <v>#ERROR!</v>
      </c>
      <c r="GW4" s="93" t="str">
        <f>TEXT(R[0]C[-194], "yyyy.mm")</f>
        <v>#ERROR!</v>
      </c>
      <c r="GX4" s="24"/>
      <c r="GY4" s="24"/>
      <c r="GZ4" s="24"/>
    </row>
    <row r="5" ht="24.0" customHeight="1">
      <c r="A5" s="34">
        <v>2.0</v>
      </c>
      <c r="B5" s="33" t="s">
        <v>583</v>
      </c>
      <c r="C5" s="86" t="s">
        <v>584</v>
      </c>
      <c r="D5" s="33" t="s">
        <v>491</v>
      </c>
      <c r="E5" s="30"/>
      <c r="F5" s="30"/>
      <c r="G5" s="30"/>
      <c r="H5" s="30"/>
      <c r="I5" s="33" t="s">
        <v>492</v>
      </c>
      <c r="J5" s="30"/>
      <c r="K5" s="87" t="s">
        <v>585</v>
      </c>
      <c r="L5" s="34">
        <v>774.0</v>
      </c>
      <c r="M5" s="33" t="s">
        <v>586</v>
      </c>
      <c r="N5" s="87" t="s">
        <v>587</v>
      </c>
      <c r="O5" s="33" t="s">
        <v>496</v>
      </c>
      <c r="P5" s="33" t="s">
        <v>588</v>
      </c>
      <c r="Q5" s="33" t="s">
        <v>498</v>
      </c>
      <c r="R5" s="34">
        <v>28.0</v>
      </c>
      <c r="S5" s="34">
        <v>1.5205969E7</v>
      </c>
      <c r="T5" s="33" t="s">
        <v>589</v>
      </c>
      <c r="U5" s="33" t="s">
        <v>500</v>
      </c>
      <c r="V5" s="33" t="s">
        <v>590</v>
      </c>
      <c r="W5" s="34">
        <v>1.2622903E7</v>
      </c>
      <c r="X5" s="30"/>
      <c r="Y5" s="33" t="s">
        <v>591</v>
      </c>
      <c r="Z5" s="33" t="s">
        <v>503</v>
      </c>
      <c r="AA5" s="33" t="s">
        <v>592</v>
      </c>
      <c r="AB5" s="86" t="s">
        <v>593</v>
      </c>
      <c r="AC5" s="34">
        <v>1.3271835E7</v>
      </c>
      <c r="AD5" s="33" t="s">
        <v>506</v>
      </c>
      <c r="AE5" s="34">
        <v>0.0</v>
      </c>
      <c r="AF5" s="33" t="s">
        <v>594</v>
      </c>
      <c r="AG5" s="33" t="s">
        <v>595</v>
      </c>
      <c r="AH5" s="34">
        <v>1.0</v>
      </c>
      <c r="AI5" s="33" t="s">
        <v>596</v>
      </c>
      <c r="AJ5" s="33" t="s">
        <v>597</v>
      </c>
      <c r="AK5" s="34">
        <v>0.0</v>
      </c>
      <c r="AL5" s="33" t="s">
        <v>598</v>
      </c>
      <c r="AM5" s="30" t="s">
        <v>511</v>
      </c>
      <c r="AN5" s="34">
        <v>0.0</v>
      </c>
      <c r="AO5" s="33" t="s">
        <v>599</v>
      </c>
      <c r="AP5" s="30" t="s">
        <v>511</v>
      </c>
      <c r="AQ5" s="34">
        <v>1.0</v>
      </c>
      <c r="AR5" s="33" t="s">
        <v>600</v>
      </c>
      <c r="AS5" s="33" t="s">
        <v>601</v>
      </c>
      <c r="AT5" s="34">
        <v>1.0</v>
      </c>
      <c r="AU5" s="33" t="s">
        <v>602</v>
      </c>
      <c r="AV5" s="33" t="s">
        <v>603</v>
      </c>
      <c r="AW5" s="34">
        <v>0.0</v>
      </c>
      <c r="AX5" s="33" t="s">
        <v>604</v>
      </c>
      <c r="AY5" s="30" t="s">
        <v>511</v>
      </c>
      <c r="AZ5" s="34">
        <v>0.0</v>
      </c>
      <c r="BA5" s="33" t="s">
        <v>605</v>
      </c>
      <c r="BB5" s="33" t="s">
        <v>606</v>
      </c>
      <c r="BC5" s="34">
        <v>0.0</v>
      </c>
      <c r="BD5" s="33" t="s">
        <v>607</v>
      </c>
      <c r="BE5" s="33" t="s">
        <v>608</v>
      </c>
      <c r="BF5" s="34">
        <v>0.0</v>
      </c>
      <c r="BG5" s="33" t="s">
        <v>609</v>
      </c>
      <c r="BH5" s="30" t="s">
        <v>511</v>
      </c>
      <c r="BI5" s="34">
        <v>0.0</v>
      </c>
      <c r="BJ5" s="33" t="s">
        <v>610</v>
      </c>
      <c r="BK5" s="33" t="s">
        <v>611</v>
      </c>
      <c r="BL5" s="34">
        <v>1.0</v>
      </c>
      <c r="BM5" s="33" t="s">
        <v>612</v>
      </c>
      <c r="BN5" s="33" t="s">
        <v>613</v>
      </c>
      <c r="BO5" s="34">
        <v>1.0</v>
      </c>
      <c r="BP5" s="33" t="s">
        <v>614</v>
      </c>
      <c r="BQ5" s="33" t="s">
        <v>615</v>
      </c>
      <c r="BR5" s="34">
        <v>0.0</v>
      </c>
      <c r="BS5" s="33" t="s">
        <v>616</v>
      </c>
      <c r="BT5" s="30" t="s">
        <v>511</v>
      </c>
      <c r="BU5" s="34">
        <v>1.0</v>
      </c>
      <c r="BV5" s="33" t="s">
        <v>617</v>
      </c>
      <c r="BW5" s="33" t="s">
        <v>618</v>
      </c>
      <c r="BX5" s="30"/>
      <c r="BY5" s="30"/>
      <c r="BZ5" s="30"/>
      <c r="CA5" s="34">
        <v>0.0</v>
      </c>
      <c r="CB5" s="33" t="s">
        <v>619</v>
      </c>
      <c r="CC5" s="33" t="s">
        <v>620</v>
      </c>
      <c r="CD5" s="34">
        <v>0.0</v>
      </c>
      <c r="CE5" s="33" t="s">
        <v>621</v>
      </c>
      <c r="CF5" s="33" t="s">
        <v>622</v>
      </c>
      <c r="CG5" s="34">
        <v>0.0</v>
      </c>
      <c r="CH5" s="33" t="s">
        <v>623</v>
      </c>
      <c r="CI5" s="33" t="s">
        <v>624</v>
      </c>
      <c r="CJ5" s="34">
        <v>0.0</v>
      </c>
      <c r="CK5" s="33" t="s">
        <v>625</v>
      </c>
      <c r="CL5" s="33" t="s">
        <v>626</v>
      </c>
      <c r="CM5" s="34">
        <v>0.0</v>
      </c>
      <c r="CN5" s="33" t="s">
        <v>627</v>
      </c>
      <c r="CO5" s="33" t="s">
        <v>628</v>
      </c>
      <c r="CP5" s="34">
        <v>1.0</v>
      </c>
      <c r="CQ5" s="33" t="s">
        <v>629</v>
      </c>
      <c r="CR5" s="33" t="s">
        <v>630</v>
      </c>
      <c r="CS5" s="34">
        <v>1.0</v>
      </c>
      <c r="CT5" s="33" t="s">
        <v>631</v>
      </c>
      <c r="CU5" s="33" t="s">
        <v>632</v>
      </c>
      <c r="CV5" s="34">
        <v>0.0</v>
      </c>
      <c r="CW5" s="33" t="s">
        <v>633</v>
      </c>
      <c r="CX5" s="33" t="s">
        <v>634</v>
      </c>
      <c r="CY5" s="34">
        <v>1.0</v>
      </c>
      <c r="CZ5" s="33" t="s">
        <v>635</v>
      </c>
      <c r="DA5" s="33" t="s">
        <v>636</v>
      </c>
      <c r="DB5" s="34">
        <v>1.0</v>
      </c>
      <c r="DC5" s="33" t="s">
        <v>637</v>
      </c>
      <c r="DD5" s="33" t="s">
        <v>638</v>
      </c>
      <c r="DE5" s="34">
        <v>0.0</v>
      </c>
      <c r="DF5" s="33" t="s">
        <v>639</v>
      </c>
      <c r="DG5" s="30" t="s">
        <v>511</v>
      </c>
      <c r="DH5" s="34">
        <v>1.0</v>
      </c>
      <c r="DI5" s="33" t="s">
        <v>640</v>
      </c>
      <c r="DJ5" s="33" t="s">
        <v>641</v>
      </c>
      <c r="DK5" s="34">
        <v>1.0</v>
      </c>
      <c r="DL5" s="33" t="s">
        <v>642</v>
      </c>
      <c r="DM5" s="33" t="s">
        <v>643</v>
      </c>
      <c r="DN5" s="34">
        <v>1.0</v>
      </c>
      <c r="DO5" s="33" t="s">
        <v>644</v>
      </c>
      <c r="DP5" s="30" t="s">
        <v>511</v>
      </c>
      <c r="DQ5" s="34">
        <v>0.0</v>
      </c>
      <c r="DR5" s="33" t="s">
        <v>645</v>
      </c>
      <c r="DS5" s="33" t="s">
        <v>646</v>
      </c>
      <c r="DT5" s="34">
        <v>0.0</v>
      </c>
      <c r="DU5" s="33" t="s">
        <v>647</v>
      </c>
      <c r="DV5" s="33" t="s">
        <v>648</v>
      </c>
      <c r="DW5" s="34">
        <v>0.0</v>
      </c>
      <c r="DX5" s="33" t="s">
        <v>649</v>
      </c>
      <c r="DY5" s="30" t="s">
        <v>511</v>
      </c>
      <c r="DZ5" s="34">
        <v>81.0</v>
      </c>
      <c r="EA5" s="33" t="s">
        <v>650</v>
      </c>
      <c r="EB5" s="30" t="s">
        <v>511</v>
      </c>
      <c r="EC5" s="34">
        <v>29.0</v>
      </c>
      <c r="ED5" s="33" t="s">
        <v>651</v>
      </c>
      <c r="EE5" s="33" t="s">
        <v>652</v>
      </c>
      <c r="EF5" s="34">
        <v>0.0</v>
      </c>
      <c r="EG5" s="33" t="s">
        <v>653</v>
      </c>
      <c r="EH5" s="33" t="s">
        <v>654</v>
      </c>
      <c r="EI5" s="34">
        <v>0.0</v>
      </c>
      <c r="EJ5" s="33" t="s">
        <v>655</v>
      </c>
      <c r="EK5" s="33" t="s">
        <v>656</v>
      </c>
      <c r="EL5" s="34">
        <v>0.0</v>
      </c>
      <c r="EM5" s="33" t="s">
        <v>657</v>
      </c>
      <c r="EN5" s="33" t="s">
        <v>658</v>
      </c>
      <c r="EO5" s="34">
        <v>1.0</v>
      </c>
      <c r="EP5" s="33" t="s">
        <v>659</v>
      </c>
      <c r="EQ5" s="33" t="s">
        <v>626</v>
      </c>
      <c r="ER5" s="30"/>
      <c r="ES5" s="30"/>
      <c r="ET5" s="30"/>
      <c r="EU5" s="34">
        <v>0.0</v>
      </c>
      <c r="EV5" s="33" t="s">
        <v>660</v>
      </c>
      <c r="EW5" s="33" t="s">
        <v>661</v>
      </c>
      <c r="EX5" s="34">
        <v>0.0</v>
      </c>
      <c r="EY5" s="33" t="s">
        <v>662</v>
      </c>
      <c r="EZ5" s="30" t="s">
        <v>511</v>
      </c>
      <c r="FA5" s="34">
        <v>0.0</v>
      </c>
      <c r="FB5" s="33" t="s">
        <v>663</v>
      </c>
      <c r="FC5" s="33" t="s">
        <v>624</v>
      </c>
      <c r="FD5" s="34">
        <v>0.0</v>
      </c>
      <c r="FE5" s="33" t="s">
        <v>664</v>
      </c>
      <c r="FF5" s="33" t="s">
        <v>665</v>
      </c>
      <c r="FG5" s="34">
        <v>0.0</v>
      </c>
      <c r="FH5" s="33" t="s">
        <v>666</v>
      </c>
      <c r="FI5" s="33" t="s">
        <v>667</v>
      </c>
      <c r="FJ5" s="34">
        <v>0.0</v>
      </c>
      <c r="FK5" s="33" t="s">
        <v>668</v>
      </c>
      <c r="FL5" s="33" t="s">
        <v>669</v>
      </c>
      <c r="FM5" s="34">
        <v>0.0</v>
      </c>
      <c r="FN5" s="33" t="s">
        <v>670</v>
      </c>
      <c r="FO5" s="33" t="s">
        <v>671</v>
      </c>
      <c r="FP5" s="34">
        <v>0.0</v>
      </c>
      <c r="FQ5" s="33" t="s">
        <v>672</v>
      </c>
      <c r="FR5" s="30" t="s">
        <v>511</v>
      </c>
      <c r="FS5" s="34">
        <v>8.0</v>
      </c>
      <c r="FT5" s="33" t="s">
        <v>673</v>
      </c>
      <c r="FU5" s="33" t="s">
        <v>674</v>
      </c>
      <c r="FV5" s="34">
        <v>9.0</v>
      </c>
      <c r="FW5" s="33" t="s">
        <v>675</v>
      </c>
      <c r="FX5" s="33" t="s">
        <v>676</v>
      </c>
      <c r="FY5" s="34">
        <v>9.0</v>
      </c>
      <c r="FZ5" s="33" t="s">
        <v>677</v>
      </c>
      <c r="GA5" s="33" t="s">
        <v>678</v>
      </c>
      <c r="GB5" s="34">
        <v>26.0</v>
      </c>
      <c r="GC5" s="33" t="s">
        <v>679</v>
      </c>
      <c r="GD5" s="33" t="s">
        <v>680</v>
      </c>
      <c r="GE5" s="88" t="str">
        <f>IFERROR(SUM(R[0]C[-156],R[0]C[-153],R[0]C[-150],R[0]C[-147])/COUNT(R[0]C[-156],R[0]C[-153],R[0]C[-150],R[0]C[-147]),"Установление контакта")</f>
        <v>#ERROR!</v>
      </c>
      <c r="GF5" s="88" t="str">
        <f>IFERROR(SUM(R[0]C[-145],R[0]C[-142],R[0]C[-139],R[0]C[-136],R[0]C[-133],R[0]C[-130],R[0]C[-127])/COUNT(R[0]C[-145],R[0]C[-142],R[0]C[-139],R[0]C[-136],R[0]C[-133],R[0]C[-130],R[0]C[-127]),"Выявление потребностей")</f>
        <v>#ERROR!</v>
      </c>
      <c r="GG5" s="88" t="str">
        <f>IFERROR(SUM(R[0]C[-125],R[0]C[-122])/COUNT(R[0]C[-125],R[0]C[-122]),"Презентация продукта")</f>
        <v>#ERROR!</v>
      </c>
      <c r="GH5" s="88" t="str">
        <f>IFERROR(SUM(R[0]C[-120],R[0]C[-117])/COUNT(R[0]C[-120],R[0]C[-117]),"Предзакрытие и ФОМО")</f>
        <v>#ERROR!</v>
      </c>
      <c r="GI5" s="88" t="str">
        <f>IFERROR(SUM(R[0]C[-109],R[0]C[-106])/COUNT(R[0]C[-109],R[0]C[-106]),"Отработка возражений")</f>
        <v>#ERROR!</v>
      </c>
      <c r="GJ5" s="88" t="str">
        <f>IFERROR(SUM(R[0]C[-98],R[0]C[-95],R[0]C[-92],R[0]C[-89],R[0]C[-86])/COUNT(R[0]C[-98],R[0]C[-95],R[0]C[-92],R[0]C[-89],R[0]C[-86]),"Этап оплаты")</f>
        <v>#ERROR!</v>
      </c>
      <c r="GK5" s="88" t="str">
        <f>IFERROR(SUM(R[0]C[-84],R[0]C[-81],R[0]C[-78],R[0]C[-75])/COUNT(R[0]C[-84],R[0]C[-81],R[0]C[-78],R[0]C[-75]),"Стандарты общения")</f>
        <v>#ERROR!</v>
      </c>
      <c r="GL5" s="88" t="str">
        <f>IFERROR(SUM(R[0]C[-73],R[0]C[-70],R[0]C[-67])/COUNT(R[0]C[-73],R[0]C[-70],R[0]C[-67]),"Критические ошибки")</f>
        <v>#ERROR!</v>
      </c>
      <c r="GM5" s="89" t="str">
        <f>IFERROR(R[0]C[-62]/50,"Экспертный блок  🧠 стратегический слой: методологии 🧰 тактический: структура и фразы 🧍 поведенческий: мотивация клиента 💳 финансовый: дожим и потери")</f>
        <v>#ERROR!</v>
      </c>
      <c r="GN5" s="88" t="str">
        <f>IFERROR(SUM(R[0]C[-45],R[0]C[-42],R[0]C[-39],R[0]C[-36],R[0]C[-33])/COUNT(R[0]C[-45],R[0]C[-42],R[0]C[-39],R[0]C[-36],R[0]C[-33]),"Рекомендации")</f>
        <v>#ERROR!</v>
      </c>
      <c r="GO5" s="88" t="str">
        <f>IFERROR(SUM(R[0]C[-31],R[0]C[-28],R[0]C[-25])/COUNT(R[0]C[-31],R[0]C[-28],R[0]C[-25]),"Фильтры")</f>
        <v>#ERROR!</v>
      </c>
      <c r="GP5" s="89" t="str">
        <f>IFERROR(SUM(R[0]C[-23],R[0]C[-20],R[0]C[-17])/COUNT(R[0]C[-23],R[0]C[-20],R[0]C[-17]),"Скоринг")</f>
        <v>#ERROR!</v>
      </c>
      <c r="GQ5" s="90" t="str">
        <f>IFERROR(
SUM(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
COUNT(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f>
        <v>#ERROR!</v>
      </c>
      <c r="GR5" s="91" t="str">
        <f t="shared" si="2"/>
        <v>#REF!</v>
      </c>
      <c r="GS5" s="92" t="str">
        <f>IF((R[0]C[-26]+R[0]C[-23]+R[0]C[-20])&lt;hidden!R[-1]C[-199],hidden!R[-1]C[-197], IF((R[0]C[-26]+R[0]C[-23]+R[0]C[-20])&lt;hidden!R[-1]C[-198],hidden!R[-1]C[-196],hidden!R[-1]C[-195]))</f>
        <v>#ERROR!</v>
      </c>
      <c r="GT5" s="92" t="str">
        <f>IF(R[0]C[-27]&lt;=hidden!R[-1]C[-195],hidden!R[-1]C[-193], IF(R[0]C[-27]&lt;=hidden!R[-1]C[-194],hidden!R[-1]C[-192],hidden!R[-1]C[-191]))</f>
        <v>#ERROR!</v>
      </c>
      <c r="GU5" s="92" t="str">
        <f>IF(R[0]C[-25]&lt;=hidden!R[-1]C[-196],hidden!R[-1]C[-194], IF(R[0]C[-25]&lt;=hidden!R[-1]C[-195],hidden!R[-1]C[-193],hidden!R[-1]C[-192]))</f>
        <v>#ERROR!</v>
      </c>
      <c r="GV5" s="93" t="str">
        <f>IF(R[0]C[-23]&lt;=hidden!R[-1]C[-197],hidden!R[-1]C[-195], IF(R[0]C[-23]&lt;=hidden!R[-1]C[-196],hidden!R[-1]C[-194],hidden!R[-1]C[-193]))</f>
        <v>#ERROR!</v>
      </c>
      <c r="GW5" s="93" t="str">
        <f>TEXT(R[0]C[-194], "yyyy.mm")</f>
        <v>#ERROR!</v>
      </c>
      <c r="GX5" s="24"/>
      <c r="GY5" s="24"/>
      <c r="GZ5" s="24"/>
    </row>
    <row r="6" ht="24.0" customHeight="1">
      <c r="A6" s="34">
        <v>3.0</v>
      </c>
      <c r="B6" s="94" t="s">
        <v>681</v>
      </c>
      <c r="C6" s="86" t="s">
        <v>682</v>
      </c>
      <c r="D6" s="33" t="s">
        <v>491</v>
      </c>
      <c r="E6" s="30"/>
      <c r="F6" s="30"/>
      <c r="G6" s="30"/>
      <c r="H6" s="30"/>
      <c r="I6" s="33" t="s">
        <v>492</v>
      </c>
      <c r="J6" s="30"/>
      <c r="K6" s="87" t="s">
        <v>585</v>
      </c>
      <c r="L6" s="34">
        <v>1026.0</v>
      </c>
      <c r="M6" s="33" t="s">
        <v>683</v>
      </c>
      <c r="N6" s="87" t="s">
        <v>684</v>
      </c>
      <c r="O6" s="33" t="s">
        <v>496</v>
      </c>
      <c r="P6" s="33" t="s">
        <v>685</v>
      </c>
      <c r="Q6" s="33" t="s">
        <v>498</v>
      </c>
      <c r="R6" s="34">
        <v>28.0</v>
      </c>
      <c r="S6" s="34">
        <v>1.5155136E7</v>
      </c>
      <c r="T6" s="33" t="s">
        <v>686</v>
      </c>
      <c r="U6" s="33" t="s">
        <v>500</v>
      </c>
      <c r="V6" s="33" t="s">
        <v>687</v>
      </c>
      <c r="W6" s="34">
        <v>1.2594494E7</v>
      </c>
      <c r="X6" s="30"/>
      <c r="Y6" s="33" t="s">
        <v>688</v>
      </c>
      <c r="Z6" s="33" t="s">
        <v>503</v>
      </c>
      <c r="AA6" s="33" t="s">
        <v>689</v>
      </c>
      <c r="AB6" s="86" t="s">
        <v>690</v>
      </c>
      <c r="AC6" s="34">
        <v>1.3271835E7</v>
      </c>
      <c r="AD6" s="33" t="s">
        <v>506</v>
      </c>
      <c r="AE6" s="34">
        <v>0.0</v>
      </c>
      <c r="AF6" s="33" t="s">
        <v>691</v>
      </c>
      <c r="AG6" s="33" t="s">
        <v>692</v>
      </c>
      <c r="AH6" s="34">
        <v>1.0</v>
      </c>
      <c r="AI6" s="33" t="s">
        <v>693</v>
      </c>
      <c r="AJ6" s="33" t="s">
        <v>694</v>
      </c>
      <c r="AK6" s="34">
        <v>0.0</v>
      </c>
      <c r="AL6" s="33" t="s">
        <v>695</v>
      </c>
      <c r="AM6" s="30" t="s">
        <v>511</v>
      </c>
      <c r="AN6" s="34">
        <v>1.0</v>
      </c>
      <c r="AO6" s="33" t="s">
        <v>696</v>
      </c>
      <c r="AP6" s="33" t="s">
        <v>697</v>
      </c>
      <c r="AQ6" s="34">
        <v>1.0</v>
      </c>
      <c r="AR6" s="33" t="s">
        <v>698</v>
      </c>
      <c r="AS6" s="33" t="s">
        <v>699</v>
      </c>
      <c r="AT6" s="34">
        <v>1.0</v>
      </c>
      <c r="AU6" s="33" t="s">
        <v>700</v>
      </c>
      <c r="AV6" s="33" t="s">
        <v>701</v>
      </c>
      <c r="AW6" s="34">
        <v>0.0</v>
      </c>
      <c r="AX6" s="33" t="s">
        <v>702</v>
      </c>
      <c r="AY6" s="30" t="s">
        <v>511</v>
      </c>
      <c r="AZ6" s="34">
        <v>1.0</v>
      </c>
      <c r="BA6" s="33" t="s">
        <v>703</v>
      </c>
      <c r="BB6" s="33" t="s">
        <v>704</v>
      </c>
      <c r="BC6" s="34">
        <v>0.0</v>
      </c>
      <c r="BD6" s="33" t="s">
        <v>705</v>
      </c>
      <c r="BE6" s="30" t="s">
        <v>511</v>
      </c>
      <c r="BF6" s="34">
        <v>0.0</v>
      </c>
      <c r="BG6" s="33" t="s">
        <v>706</v>
      </c>
      <c r="BH6" s="33" t="s">
        <v>707</v>
      </c>
      <c r="BI6" s="34">
        <v>1.0</v>
      </c>
      <c r="BJ6" s="33" t="s">
        <v>708</v>
      </c>
      <c r="BK6" s="33" t="s">
        <v>709</v>
      </c>
      <c r="BL6" s="34">
        <v>1.0</v>
      </c>
      <c r="BM6" s="33" t="s">
        <v>710</v>
      </c>
      <c r="BN6" s="33" t="s">
        <v>711</v>
      </c>
      <c r="BO6" s="34">
        <v>1.0</v>
      </c>
      <c r="BP6" s="33" t="s">
        <v>712</v>
      </c>
      <c r="BQ6" s="33" t="s">
        <v>713</v>
      </c>
      <c r="BR6" s="34">
        <v>0.0</v>
      </c>
      <c r="BS6" s="33" t="s">
        <v>714</v>
      </c>
      <c r="BT6" s="30" t="s">
        <v>511</v>
      </c>
      <c r="BU6" s="34">
        <v>1.0</v>
      </c>
      <c r="BV6" s="33" t="s">
        <v>715</v>
      </c>
      <c r="BW6" s="33" t="s">
        <v>716</v>
      </c>
      <c r="BX6" s="30"/>
      <c r="BY6" s="30"/>
      <c r="BZ6" s="30"/>
      <c r="CA6" s="34">
        <v>0.0</v>
      </c>
      <c r="CB6" s="33" t="s">
        <v>717</v>
      </c>
      <c r="CC6" s="33" t="s">
        <v>718</v>
      </c>
      <c r="CD6" s="34">
        <v>0.0</v>
      </c>
      <c r="CE6" s="33" t="s">
        <v>719</v>
      </c>
      <c r="CF6" s="33" t="s">
        <v>720</v>
      </c>
      <c r="CG6" s="34">
        <v>0.0</v>
      </c>
      <c r="CH6" s="33" t="s">
        <v>721</v>
      </c>
      <c r="CI6" s="33" t="s">
        <v>722</v>
      </c>
      <c r="CJ6" s="34">
        <v>0.0</v>
      </c>
      <c r="CK6" s="33" t="s">
        <v>723</v>
      </c>
      <c r="CL6" s="30" t="s">
        <v>511</v>
      </c>
      <c r="CM6" s="34">
        <v>0.0</v>
      </c>
      <c r="CN6" s="33" t="s">
        <v>724</v>
      </c>
      <c r="CO6" s="33" t="s">
        <v>725</v>
      </c>
      <c r="CP6" s="34">
        <v>0.0</v>
      </c>
      <c r="CQ6" s="33" t="s">
        <v>726</v>
      </c>
      <c r="CR6" s="33" t="s">
        <v>727</v>
      </c>
      <c r="CS6" s="34">
        <v>1.0</v>
      </c>
      <c r="CT6" s="33" t="s">
        <v>728</v>
      </c>
      <c r="CU6" s="33" t="s">
        <v>729</v>
      </c>
      <c r="CV6" s="34">
        <v>0.0</v>
      </c>
      <c r="CW6" s="33" t="s">
        <v>730</v>
      </c>
      <c r="CX6" s="30" t="s">
        <v>511</v>
      </c>
      <c r="CY6" s="34">
        <v>0.0</v>
      </c>
      <c r="CZ6" s="33" t="s">
        <v>731</v>
      </c>
      <c r="DA6" s="33" t="s">
        <v>732</v>
      </c>
      <c r="DB6" s="34">
        <v>1.0</v>
      </c>
      <c r="DC6" s="33" t="s">
        <v>733</v>
      </c>
      <c r="DD6" s="33" t="s">
        <v>734</v>
      </c>
      <c r="DE6" s="34">
        <v>0.0</v>
      </c>
      <c r="DF6" s="33" t="s">
        <v>735</v>
      </c>
      <c r="DG6" s="30" t="s">
        <v>511</v>
      </c>
      <c r="DH6" s="34">
        <v>0.0</v>
      </c>
      <c r="DI6" s="33" t="s">
        <v>736</v>
      </c>
      <c r="DJ6" s="30" t="s">
        <v>511</v>
      </c>
      <c r="DK6" s="34">
        <v>1.0</v>
      </c>
      <c r="DL6" s="33" t="s">
        <v>737</v>
      </c>
      <c r="DM6" s="33" t="s">
        <v>738</v>
      </c>
      <c r="DN6" s="34">
        <v>1.0</v>
      </c>
      <c r="DO6" s="33" t="s">
        <v>739</v>
      </c>
      <c r="DP6" s="30" t="s">
        <v>511</v>
      </c>
      <c r="DQ6" s="34">
        <v>0.0</v>
      </c>
      <c r="DR6" s="33" t="s">
        <v>740</v>
      </c>
      <c r="DS6" s="33" t="s">
        <v>741</v>
      </c>
      <c r="DT6" s="34">
        <v>0.0</v>
      </c>
      <c r="DU6" s="33" t="s">
        <v>742</v>
      </c>
      <c r="DV6" s="30" t="s">
        <v>511</v>
      </c>
      <c r="DW6" s="34">
        <v>0.0</v>
      </c>
      <c r="DX6" s="33" t="s">
        <v>743</v>
      </c>
      <c r="DY6" s="33" t="s">
        <v>744</v>
      </c>
      <c r="DZ6" s="34">
        <v>72.0</v>
      </c>
      <c r="EA6" s="33" t="s">
        <v>745</v>
      </c>
      <c r="EB6" s="30" t="s">
        <v>511</v>
      </c>
      <c r="EC6" s="34">
        <v>28.0</v>
      </c>
      <c r="ED6" s="33" t="s">
        <v>746</v>
      </c>
      <c r="EE6" s="30" t="s">
        <v>511</v>
      </c>
      <c r="EF6" s="34">
        <v>0.0</v>
      </c>
      <c r="EG6" s="33" t="s">
        <v>747</v>
      </c>
      <c r="EH6" s="30" t="s">
        <v>511</v>
      </c>
      <c r="EI6" s="34">
        <v>0.0</v>
      </c>
      <c r="EJ6" s="33" t="s">
        <v>748</v>
      </c>
      <c r="EK6" s="30" t="s">
        <v>511</v>
      </c>
      <c r="EL6" s="34">
        <v>0.0</v>
      </c>
      <c r="EM6" s="33" t="s">
        <v>749</v>
      </c>
      <c r="EN6" s="30" t="s">
        <v>511</v>
      </c>
      <c r="EO6" s="34">
        <v>1.0</v>
      </c>
      <c r="EP6" s="33" t="s">
        <v>750</v>
      </c>
      <c r="EQ6" s="33" t="s">
        <v>751</v>
      </c>
      <c r="ER6" s="30"/>
      <c r="ES6" s="30"/>
      <c r="ET6" s="30"/>
      <c r="EU6" s="34">
        <v>0.0</v>
      </c>
      <c r="EV6" s="33" t="s">
        <v>752</v>
      </c>
      <c r="EW6" s="30" t="s">
        <v>511</v>
      </c>
      <c r="EX6" s="34">
        <v>0.0</v>
      </c>
      <c r="EY6" s="33" t="s">
        <v>753</v>
      </c>
      <c r="EZ6" s="30" t="s">
        <v>511</v>
      </c>
      <c r="FA6" s="34">
        <v>0.0</v>
      </c>
      <c r="FB6" s="33" t="s">
        <v>754</v>
      </c>
      <c r="FC6" s="30" t="s">
        <v>511</v>
      </c>
      <c r="FD6" s="34">
        <v>0.0</v>
      </c>
      <c r="FE6" s="33" t="s">
        <v>755</v>
      </c>
      <c r="FF6" s="30" t="s">
        <v>511</v>
      </c>
      <c r="FG6" s="34">
        <v>0.0</v>
      </c>
      <c r="FH6" s="33" t="s">
        <v>756</v>
      </c>
      <c r="FI6" s="30" t="s">
        <v>511</v>
      </c>
      <c r="FJ6" s="34">
        <v>0.0</v>
      </c>
      <c r="FK6" s="33" t="s">
        <v>757</v>
      </c>
      <c r="FL6" s="33" t="s">
        <v>758</v>
      </c>
      <c r="FM6" s="34">
        <v>0.0</v>
      </c>
      <c r="FN6" s="33" t="s">
        <v>759</v>
      </c>
      <c r="FO6" s="33" t="s">
        <v>760</v>
      </c>
      <c r="FP6" s="34">
        <v>1.0</v>
      </c>
      <c r="FQ6" s="33" t="s">
        <v>761</v>
      </c>
      <c r="FR6" s="33" t="s">
        <v>762</v>
      </c>
      <c r="FS6" s="34">
        <v>6.0</v>
      </c>
      <c r="FT6" s="33" t="s">
        <v>763</v>
      </c>
      <c r="FU6" s="33" t="s">
        <v>764</v>
      </c>
      <c r="FV6" s="34">
        <v>3.0</v>
      </c>
      <c r="FW6" s="33" t="s">
        <v>765</v>
      </c>
      <c r="FX6" s="33" t="s">
        <v>766</v>
      </c>
      <c r="FY6" s="34">
        <v>8.0</v>
      </c>
      <c r="FZ6" s="33" t="s">
        <v>767</v>
      </c>
      <c r="GA6" s="33" t="s">
        <v>768</v>
      </c>
      <c r="GB6" s="34">
        <v>17.0</v>
      </c>
      <c r="GC6" s="33" t="s">
        <v>769</v>
      </c>
      <c r="GD6" s="33" t="s">
        <v>770</v>
      </c>
      <c r="GE6" s="88" t="str">
        <f>IFERROR(SUM(R[0]C[-156],R[0]C[-153],R[0]C[-150],R[0]C[-147])/COUNT(R[0]C[-156],R[0]C[-153],R[0]C[-150],R[0]C[-147]),"Установление контакта")</f>
        <v>#ERROR!</v>
      </c>
      <c r="GF6" s="88" t="str">
        <f>IFERROR(SUM(R[0]C[-145],R[0]C[-142],R[0]C[-139],R[0]C[-136],R[0]C[-133],R[0]C[-130],R[0]C[-127])/COUNT(R[0]C[-145],R[0]C[-142],R[0]C[-139],R[0]C[-136],R[0]C[-133],R[0]C[-130],R[0]C[-127]),"Выявление потребностей")</f>
        <v>#ERROR!</v>
      </c>
      <c r="GG6" s="88" t="str">
        <f>IFERROR(SUM(R[0]C[-125],R[0]C[-122])/COUNT(R[0]C[-125],R[0]C[-122]),"Презентация продукта")</f>
        <v>#ERROR!</v>
      </c>
      <c r="GH6" s="88" t="str">
        <f>IFERROR(SUM(R[0]C[-120],R[0]C[-117])/COUNT(R[0]C[-120],R[0]C[-117]),"Предзакрытие и ФОМО")</f>
        <v>#ERROR!</v>
      </c>
      <c r="GI6" s="88" t="str">
        <f>IFERROR(SUM(R[0]C[-109],R[0]C[-106])/COUNT(R[0]C[-109],R[0]C[-106]),"Отработка возражений")</f>
        <v>#ERROR!</v>
      </c>
      <c r="GJ6" s="88" t="str">
        <f>IFERROR(SUM(R[0]C[-98],R[0]C[-95],R[0]C[-92],R[0]C[-89],R[0]C[-86])/COUNT(R[0]C[-98],R[0]C[-95],R[0]C[-92],R[0]C[-89],R[0]C[-86]),"Этап оплаты")</f>
        <v>#ERROR!</v>
      </c>
      <c r="GK6" s="88" t="str">
        <f>IFERROR(SUM(R[0]C[-84],R[0]C[-81],R[0]C[-78],R[0]C[-75])/COUNT(R[0]C[-84],R[0]C[-81],R[0]C[-78],R[0]C[-75]),"Стандарты общения")</f>
        <v>#ERROR!</v>
      </c>
      <c r="GL6" s="88" t="str">
        <f>IFERROR(SUM(R[0]C[-73],R[0]C[-70],R[0]C[-67])/COUNT(R[0]C[-73],R[0]C[-70],R[0]C[-67]),"Критические ошибки")</f>
        <v>#ERROR!</v>
      </c>
      <c r="GM6" s="89" t="str">
        <f>IFERROR(R[0]C[-62]/50,"Экспертный блок  🧠 стратегический слой: методологии 🧰 тактический: структура и фразы 🧍 поведенческий: мотивация клиента 💳 финансовый: дожим и потери")</f>
        <v>#ERROR!</v>
      </c>
      <c r="GN6" s="88" t="str">
        <f>IFERROR(SUM(R[0]C[-45],R[0]C[-42],R[0]C[-39],R[0]C[-36],R[0]C[-33])/COUNT(R[0]C[-45],R[0]C[-42],R[0]C[-39],R[0]C[-36],R[0]C[-33]),"Рекомендации")</f>
        <v>#ERROR!</v>
      </c>
      <c r="GO6" s="88" t="str">
        <f>IFERROR(SUM(R[0]C[-31],R[0]C[-28],R[0]C[-25])/COUNT(R[0]C[-31],R[0]C[-28],R[0]C[-25]),"Фильтры")</f>
        <v>#ERROR!</v>
      </c>
      <c r="GP6" s="89" t="str">
        <f>IFERROR(SUM(R[0]C[-23],R[0]C[-20],R[0]C[-17])/COUNT(R[0]C[-23],R[0]C[-20],R[0]C[-17]),"Скоринг")</f>
        <v>#ERROR!</v>
      </c>
      <c r="GQ6" s="90" t="str">
        <f>IFERROR(
SUM(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
COUNT(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f>
        <v>#ERROR!</v>
      </c>
      <c r="GR6" s="91" t="str">
        <f t="shared" si="2"/>
        <v>#REF!</v>
      </c>
      <c r="GS6" s="92" t="str">
        <f>IF((R[0]C[-26]+R[0]C[-23]+R[0]C[-20])&lt;hidden!R[-1]C[-199],hidden!R[-1]C[-197], IF((R[0]C[-26]+R[0]C[-23]+R[0]C[-20])&lt;hidden!R[-1]C[-198],hidden!R[-1]C[-196],hidden!R[-1]C[-195]))</f>
        <v>#ERROR!</v>
      </c>
      <c r="GT6" s="92" t="str">
        <f>IF(R[0]C[-27]&lt;=hidden!R[-1]C[-195],hidden!R[-1]C[-193], IF(R[0]C[-27]&lt;=hidden!R[-1]C[-194],hidden!R[-1]C[-192],hidden!R[-1]C[-191]))</f>
        <v>#ERROR!</v>
      </c>
      <c r="GU6" s="92" t="str">
        <f>IF(R[0]C[-25]&lt;=hidden!R[-1]C[-196],hidden!R[-1]C[-194], IF(R[0]C[-25]&lt;=hidden!R[-1]C[-195],hidden!R[-1]C[-193],hidden!R[-1]C[-192]))</f>
        <v>#ERROR!</v>
      </c>
      <c r="GV6" s="93" t="str">
        <f>IF(R[0]C[-23]&lt;=hidden!R[-1]C[-197],hidden!R[-1]C[-195], IF(R[0]C[-23]&lt;=hidden!R[-1]C[-196],hidden!R[-1]C[-194],hidden!R[-1]C[-193]))</f>
        <v>#ERROR!</v>
      </c>
      <c r="GW6" s="93" t="str">
        <f>TEXT(R[0]C[-194], "yyyy.mm")</f>
        <v>#ERROR!</v>
      </c>
      <c r="GX6" s="24"/>
      <c r="GY6" s="24"/>
      <c r="GZ6" s="24"/>
    </row>
    <row r="7" ht="24.0" customHeight="1">
      <c r="A7" s="34">
        <v>4.0</v>
      </c>
      <c r="B7" s="33" t="s">
        <v>771</v>
      </c>
      <c r="C7" s="86" t="s">
        <v>772</v>
      </c>
      <c r="D7" s="33" t="s">
        <v>491</v>
      </c>
      <c r="E7" s="30"/>
      <c r="F7" s="30"/>
      <c r="G7" s="30"/>
      <c r="H7" s="30"/>
      <c r="I7" s="33" t="s">
        <v>492</v>
      </c>
      <c r="J7" s="30"/>
      <c r="K7" s="87" t="s">
        <v>773</v>
      </c>
      <c r="L7" s="34">
        <v>1060.0</v>
      </c>
      <c r="M7" s="33" t="s">
        <v>774</v>
      </c>
      <c r="N7" s="87" t="s">
        <v>775</v>
      </c>
      <c r="O7" s="33" t="s">
        <v>496</v>
      </c>
      <c r="P7" s="33" t="s">
        <v>776</v>
      </c>
      <c r="Q7" s="33" t="s">
        <v>498</v>
      </c>
      <c r="R7" s="34">
        <v>28.0</v>
      </c>
      <c r="S7" s="34">
        <v>1.4952666E7</v>
      </c>
      <c r="T7" s="33" t="s">
        <v>777</v>
      </c>
      <c r="U7" s="33" t="s">
        <v>500</v>
      </c>
      <c r="V7" s="33" t="s">
        <v>778</v>
      </c>
      <c r="W7" s="34">
        <v>1.2410256E7</v>
      </c>
      <c r="X7" s="30"/>
      <c r="Y7" s="33" t="s">
        <v>779</v>
      </c>
      <c r="Z7" s="33" t="s">
        <v>503</v>
      </c>
      <c r="AA7" s="33" t="s">
        <v>780</v>
      </c>
      <c r="AB7" s="86" t="s">
        <v>781</v>
      </c>
      <c r="AC7" s="34">
        <v>1.2994847E7</v>
      </c>
      <c r="AD7" s="33" t="s">
        <v>782</v>
      </c>
      <c r="AE7" s="34">
        <v>0.0</v>
      </c>
      <c r="AF7" s="33" t="s">
        <v>783</v>
      </c>
      <c r="AG7" s="33" t="s">
        <v>784</v>
      </c>
      <c r="AH7" s="34">
        <v>1.0</v>
      </c>
      <c r="AI7" s="33" t="s">
        <v>785</v>
      </c>
      <c r="AJ7" s="33" t="s">
        <v>786</v>
      </c>
      <c r="AK7" s="30" t="s">
        <v>511</v>
      </c>
      <c r="AL7" s="33" t="s">
        <v>787</v>
      </c>
      <c r="AM7" s="30" t="s">
        <v>511</v>
      </c>
      <c r="AN7" s="30" t="s">
        <v>511</v>
      </c>
      <c r="AO7" s="33" t="s">
        <v>788</v>
      </c>
      <c r="AP7" s="30" t="s">
        <v>511</v>
      </c>
      <c r="AQ7" s="34">
        <v>1.0</v>
      </c>
      <c r="AR7" s="33" t="s">
        <v>789</v>
      </c>
      <c r="AS7" s="33" t="s">
        <v>790</v>
      </c>
      <c r="AT7" s="34">
        <v>0.0</v>
      </c>
      <c r="AU7" s="33" t="s">
        <v>791</v>
      </c>
      <c r="AV7" s="33" t="s">
        <v>792</v>
      </c>
      <c r="AW7" s="34">
        <v>0.0</v>
      </c>
      <c r="AX7" s="33" t="s">
        <v>793</v>
      </c>
      <c r="AY7" s="30" t="s">
        <v>511</v>
      </c>
      <c r="AZ7" s="34">
        <v>0.0</v>
      </c>
      <c r="BA7" s="33" t="s">
        <v>794</v>
      </c>
      <c r="BB7" s="33" t="s">
        <v>795</v>
      </c>
      <c r="BC7" s="30" t="s">
        <v>511</v>
      </c>
      <c r="BD7" s="33" t="s">
        <v>796</v>
      </c>
      <c r="BE7" s="30" t="s">
        <v>511</v>
      </c>
      <c r="BF7" s="34">
        <v>1.0</v>
      </c>
      <c r="BG7" s="33" t="s">
        <v>797</v>
      </c>
      <c r="BH7" s="33" t="s">
        <v>798</v>
      </c>
      <c r="BI7" s="34">
        <v>1.0</v>
      </c>
      <c r="BJ7" s="33" t="s">
        <v>799</v>
      </c>
      <c r="BK7" s="33" t="s">
        <v>800</v>
      </c>
      <c r="BL7" s="34">
        <v>1.0</v>
      </c>
      <c r="BM7" s="33" t="s">
        <v>801</v>
      </c>
      <c r="BN7" s="33" t="s">
        <v>802</v>
      </c>
      <c r="BO7" s="34">
        <v>1.0</v>
      </c>
      <c r="BP7" s="33" t="s">
        <v>803</v>
      </c>
      <c r="BQ7" s="33" t="s">
        <v>804</v>
      </c>
      <c r="BR7" s="34">
        <v>1.0</v>
      </c>
      <c r="BS7" s="33" t="s">
        <v>805</v>
      </c>
      <c r="BT7" s="33" t="s">
        <v>806</v>
      </c>
      <c r="BU7" s="34">
        <v>1.0</v>
      </c>
      <c r="BV7" s="33" t="s">
        <v>807</v>
      </c>
      <c r="BW7" s="33" t="s">
        <v>808</v>
      </c>
      <c r="BX7" s="30"/>
      <c r="BY7" s="30"/>
      <c r="BZ7" s="30"/>
      <c r="CA7" s="34">
        <v>0.0</v>
      </c>
      <c r="CB7" s="33" t="s">
        <v>809</v>
      </c>
      <c r="CC7" s="33" t="s">
        <v>810</v>
      </c>
      <c r="CD7" s="34">
        <v>1.0</v>
      </c>
      <c r="CE7" s="33" t="s">
        <v>811</v>
      </c>
      <c r="CF7" s="33" t="s">
        <v>812</v>
      </c>
      <c r="CG7" s="34">
        <v>1.0</v>
      </c>
      <c r="CH7" s="33" t="s">
        <v>813</v>
      </c>
      <c r="CI7" s="33" t="s">
        <v>814</v>
      </c>
      <c r="CJ7" s="34">
        <v>0.0</v>
      </c>
      <c r="CK7" s="33" t="s">
        <v>815</v>
      </c>
      <c r="CL7" s="30" t="s">
        <v>511</v>
      </c>
      <c r="CM7" s="34">
        <v>0.0</v>
      </c>
      <c r="CN7" s="33" t="s">
        <v>816</v>
      </c>
      <c r="CO7" s="30" t="s">
        <v>511</v>
      </c>
      <c r="CP7" s="34">
        <v>0.0</v>
      </c>
      <c r="CQ7" s="33" t="s">
        <v>817</v>
      </c>
      <c r="CR7" s="33" t="s">
        <v>818</v>
      </c>
      <c r="CS7" s="34">
        <v>1.0</v>
      </c>
      <c r="CT7" s="33" t="s">
        <v>819</v>
      </c>
      <c r="CU7" s="33" t="s">
        <v>820</v>
      </c>
      <c r="CV7" s="30" t="s">
        <v>511</v>
      </c>
      <c r="CW7" s="33" t="s">
        <v>821</v>
      </c>
      <c r="CX7" s="30" t="s">
        <v>511</v>
      </c>
      <c r="CY7" s="34">
        <v>1.0</v>
      </c>
      <c r="CZ7" s="33" t="s">
        <v>822</v>
      </c>
      <c r="DA7" s="33" t="s">
        <v>823</v>
      </c>
      <c r="DB7" s="34">
        <v>1.0</v>
      </c>
      <c r="DC7" s="33" t="s">
        <v>824</v>
      </c>
      <c r="DD7" s="33" t="s">
        <v>825</v>
      </c>
      <c r="DE7" s="34">
        <v>0.0</v>
      </c>
      <c r="DF7" s="33" t="s">
        <v>826</v>
      </c>
      <c r="DG7" s="30" t="s">
        <v>511</v>
      </c>
      <c r="DH7" s="34">
        <v>1.0</v>
      </c>
      <c r="DI7" s="33" t="s">
        <v>827</v>
      </c>
      <c r="DJ7" s="33" t="s">
        <v>828</v>
      </c>
      <c r="DK7" s="34">
        <v>1.0</v>
      </c>
      <c r="DL7" s="33" t="s">
        <v>829</v>
      </c>
      <c r="DM7" s="33" t="s">
        <v>830</v>
      </c>
      <c r="DN7" s="34">
        <v>1.0</v>
      </c>
      <c r="DO7" s="33" t="s">
        <v>831</v>
      </c>
      <c r="DP7" s="30" t="s">
        <v>511</v>
      </c>
      <c r="DQ7" s="34">
        <v>0.0</v>
      </c>
      <c r="DR7" s="33" t="s">
        <v>832</v>
      </c>
      <c r="DS7" s="30" t="s">
        <v>511</v>
      </c>
      <c r="DT7" s="34">
        <v>1.0</v>
      </c>
      <c r="DU7" s="33" t="s">
        <v>833</v>
      </c>
      <c r="DV7" s="33" t="s">
        <v>834</v>
      </c>
      <c r="DW7" s="34">
        <v>0.0</v>
      </c>
      <c r="DX7" s="33" t="s">
        <v>835</v>
      </c>
      <c r="DY7" s="30" t="s">
        <v>511</v>
      </c>
      <c r="DZ7" s="34">
        <v>74.0</v>
      </c>
      <c r="EA7" s="33" t="s">
        <v>836</v>
      </c>
      <c r="EB7" s="30" t="s">
        <v>511</v>
      </c>
      <c r="EC7" s="34">
        <v>31.0</v>
      </c>
      <c r="ED7" s="33" t="s">
        <v>837</v>
      </c>
      <c r="EE7" s="30" t="s">
        <v>511</v>
      </c>
      <c r="EF7" s="34">
        <v>1.0</v>
      </c>
      <c r="EG7" s="33" t="s">
        <v>838</v>
      </c>
      <c r="EH7" s="30" t="s">
        <v>511</v>
      </c>
      <c r="EI7" s="34">
        <v>0.0</v>
      </c>
      <c r="EJ7" s="33" t="s">
        <v>839</v>
      </c>
      <c r="EK7" s="30" t="s">
        <v>511</v>
      </c>
      <c r="EL7" s="34">
        <v>0.0</v>
      </c>
      <c r="EM7" s="33" t="s">
        <v>840</v>
      </c>
      <c r="EN7" s="30" t="s">
        <v>511</v>
      </c>
      <c r="EO7" s="34">
        <v>0.0</v>
      </c>
      <c r="EP7" s="33" t="s">
        <v>841</v>
      </c>
      <c r="EQ7" s="30" t="s">
        <v>511</v>
      </c>
      <c r="ER7" s="30"/>
      <c r="ES7" s="30"/>
      <c r="ET7" s="30"/>
      <c r="EU7" s="34">
        <v>0.0</v>
      </c>
      <c r="EV7" s="33" t="s">
        <v>842</v>
      </c>
      <c r="EW7" s="30" t="s">
        <v>511</v>
      </c>
      <c r="EX7" s="34">
        <v>0.0</v>
      </c>
      <c r="EY7" s="33" t="s">
        <v>662</v>
      </c>
      <c r="EZ7" s="30" t="s">
        <v>511</v>
      </c>
      <c r="FA7" s="34">
        <v>0.0</v>
      </c>
      <c r="FB7" s="33" t="s">
        <v>843</v>
      </c>
      <c r="FC7" s="30" t="s">
        <v>511</v>
      </c>
      <c r="FD7" s="34">
        <v>0.0</v>
      </c>
      <c r="FE7" s="33" t="s">
        <v>844</v>
      </c>
      <c r="FF7" s="30" t="s">
        <v>511</v>
      </c>
      <c r="FG7" s="34">
        <v>0.0</v>
      </c>
      <c r="FH7" s="33" t="s">
        <v>845</v>
      </c>
      <c r="FI7" s="30" t="s">
        <v>511</v>
      </c>
      <c r="FJ7" s="34">
        <v>0.0</v>
      </c>
      <c r="FK7" s="33" t="s">
        <v>846</v>
      </c>
      <c r="FL7" s="30" t="s">
        <v>511</v>
      </c>
      <c r="FM7" s="34">
        <v>0.0</v>
      </c>
      <c r="FN7" s="33" t="s">
        <v>847</v>
      </c>
      <c r="FO7" s="30" t="s">
        <v>511</v>
      </c>
      <c r="FP7" s="34">
        <v>0.0</v>
      </c>
      <c r="FQ7" s="33" t="s">
        <v>848</v>
      </c>
      <c r="FR7" s="30" t="s">
        <v>511</v>
      </c>
      <c r="FS7" s="34">
        <v>3.0</v>
      </c>
      <c r="FT7" s="33" t="s">
        <v>849</v>
      </c>
      <c r="FU7" s="33" t="s">
        <v>850</v>
      </c>
      <c r="FV7" s="34">
        <v>6.0</v>
      </c>
      <c r="FW7" s="33" t="s">
        <v>851</v>
      </c>
      <c r="FX7" s="33" t="s">
        <v>852</v>
      </c>
      <c r="FY7" s="34">
        <v>8.0</v>
      </c>
      <c r="FZ7" s="33" t="s">
        <v>853</v>
      </c>
      <c r="GA7" s="33" t="s">
        <v>854</v>
      </c>
      <c r="GB7" s="34">
        <v>17.0</v>
      </c>
      <c r="GC7" s="33" t="s">
        <v>855</v>
      </c>
      <c r="GD7" s="30" t="s">
        <v>511</v>
      </c>
      <c r="GE7" s="88" t="str">
        <f>IFERROR(SUM(R[0]C[-156],R[0]C[-153],R[0]C[-150],R[0]C[-147])/COUNT(R[0]C[-156],R[0]C[-153],R[0]C[-150],R[0]C[-147]),"Установление контакта")</f>
        <v>#ERROR!</v>
      </c>
      <c r="GF7" s="88" t="str">
        <f>IFERROR(SUM(R[0]C[-145],R[0]C[-142],R[0]C[-139],R[0]C[-136],R[0]C[-133],R[0]C[-130],R[0]C[-127])/COUNT(R[0]C[-145],R[0]C[-142],R[0]C[-139],R[0]C[-136],R[0]C[-133],R[0]C[-130],R[0]C[-127]),"Выявление потребностей")</f>
        <v>#ERROR!</v>
      </c>
      <c r="GG7" s="88" t="str">
        <f>IFERROR(SUM(R[0]C[-125],R[0]C[-122])/COUNT(R[0]C[-125],R[0]C[-122]),"Презентация продукта")</f>
        <v>#ERROR!</v>
      </c>
      <c r="GH7" s="88" t="str">
        <f>IFERROR(SUM(R[0]C[-120],R[0]C[-117])/COUNT(R[0]C[-120],R[0]C[-117]),"Предзакрытие и ФОМО")</f>
        <v>#ERROR!</v>
      </c>
      <c r="GI7" s="88" t="str">
        <f>IFERROR(SUM(R[0]C[-109],R[0]C[-106])/COUNT(R[0]C[-109],R[0]C[-106]),"Отработка возражений")</f>
        <v>#ERROR!</v>
      </c>
      <c r="GJ7" s="88" t="str">
        <f>IFERROR(SUM(R[0]C[-98],R[0]C[-95],R[0]C[-92],R[0]C[-89],R[0]C[-86])/COUNT(R[0]C[-98],R[0]C[-95],R[0]C[-92],R[0]C[-89],R[0]C[-86]),"Этап оплаты")</f>
        <v>#ERROR!</v>
      </c>
      <c r="GK7" s="88" t="str">
        <f>IFERROR(SUM(R[0]C[-84],R[0]C[-81],R[0]C[-78],R[0]C[-75])/COUNT(R[0]C[-84],R[0]C[-81],R[0]C[-78],R[0]C[-75]),"Стандарты общения")</f>
        <v>#ERROR!</v>
      </c>
      <c r="GL7" s="88" t="str">
        <f>IFERROR(SUM(R[0]C[-73],R[0]C[-70],R[0]C[-67])/COUNT(R[0]C[-73],R[0]C[-70],R[0]C[-67]),"Критические ошибки")</f>
        <v>#ERROR!</v>
      </c>
      <c r="GM7" s="89" t="str">
        <f>IFERROR(R[0]C[-62]/50,"Экспертный блок  🧠 стратегический слой: методологии 🧰 тактический: структура и фразы 🧍 поведенческий: мотивация клиента 💳 финансовый: дожим и потери")</f>
        <v>#ERROR!</v>
      </c>
      <c r="GN7" s="88" t="str">
        <f>IFERROR(SUM(R[0]C[-45],R[0]C[-42],R[0]C[-39],R[0]C[-36],R[0]C[-33])/COUNT(R[0]C[-45],R[0]C[-42],R[0]C[-39],R[0]C[-36],R[0]C[-33]),"Рекомендации")</f>
        <v>#ERROR!</v>
      </c>
      <c r="GO7" s="88" t="str">
        <f>IFERROR(SUM(R[0]C[-31],R[0]C[-28],R[0]C[-25])/COUNT(R[0]C[-31],R[0]C[-28],R[0]C[-25]),"Фильтры")</f>
        <v>#ERROR!</v>
      </c>
      <c r="GP7" s="89" t="str">
        <f>IFERROR(SUM(R[0]C[-23],R[0]C[-20],R[0]C[-17])/COUNT(R[0]C[-23],R[0]C[-20],R[0]C[-17]),"Скоринг")</f>
        <v>#ERROR!</v>
      </c>
      <c r="GQ7" s="90" t="str">
        <f>IFERROR(
SUM(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
COUNT(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f>
        <v>#ERROR!</v>
      </c>
      <c r="GR7" s="91" t="str">
        <f t="shared" si="2"/>
        <v>#REF!</v>
      </c>
      <c r="GS7" s="92" t="str">
        <f>IF((R[0]C[-26]+R[0]C[-23]+R[0]C[-20])&lt;hidden!R[-1]C[-199],hidden!R[-1]C[-197], IF((R[0]C[-26]+R[0]C[-23]+R[0]C[-20])&lt;hidden!R[-1]C[-198],hidden!R[-1]C[-196],hidden!R[-1]C[-195]))</f>
        <v>#ERROR!</v>
      </c>
      <c r="GT7" s="92" t="str">
        <f>IF(R[0]C[-27]&lt;=hidden!R[-1]C[-195],hidden!R[-1]C[-193], IF(R[0]C[-27]&lt;=hidden!R[-1]C[-194],hidden!R[-1]C[-192],hidden!R[-1]C[-191]))</f>
        <v>#ERROR!</v>
      </c>
      <c r="GU7" s="92" t="str">
        <f>IF(R[0]C[-25]&lt;=hidden!R[-1]C[-196],hidden!R[-1]C[-194], IF(R[0]C[-25]&lt;=hidden!R[-1]C[-195],hidden!R[-1]C[-193],hidden!R[-1]C[-192]))</f>
        <v>#ERROR!</v>
      </c>
      <c r="GV7" s="93" t="str">
        <f>IF(R[0]C[-23]&lt;=hidden!R[-1]C[-197],hidden!R[-1]C[-195], IF(R[0]C[-23]&lt;=hidden!R[-1]C[-196],hidden!R[-1]C[-194],hidden!R[-1]C[-193]))</f>
        <v>#ERROR!</v>
      </c>
      <c r="GW7" s="93" t="str">
        <f>TEXT(R[0]C[-194], "yyyy.mm")</f>
        <v>#ERROR!</v>
      </c>
      <c r="GX7" s="24"/>
      <c r="GY7" s="24"/>
      <c r="GZ7" s="24"/>
    </row>
    <row r="8" ht="24.0" customHeight="1">
      <c r="A8" s="34">
        <v>5.0</v>
      </c>
      <c r="B8" s="94" t="s">
        <v>856</v>
      </c>
      <c r="C8" s="86" t="s">
        <v>857</v>
      </c>
      <c r="D8" s="33" t="s">
        <v>858</v>
      </c>
      <c r="E8" s="30"/>
      <c r="F8" s="30"/>
      <c r="G8" s="30"/>
      <c r="H8" s="30"/>
      <c r="I8" s="33" t="s">
        <v>492</v>
      </c>
      <c r="J8" s="30"/>
      <c r="K8" s="87" t="s">
        <v>859</v>
      </c>
      <c r="L8" s="34">
        <v>869.0</v>
      </c>
      <c r="M8" s="33" t="s">
        <v>860</v>
      </c>
      <c r="N8" s="87" t="s">
        <v>861</v>
      </c>
      <c r="O8" s="33" t="s">
        <v>496</v>
      </c>
      <c r="P8" s="33" t="s">
        <v>862</v>
      </c>
      <c r="Q8" s="33" t="s">
        <v>498</v>
      </c>
      <c r="R8" s="34">
        <v>28.0</v>
      </c>
      <c r="S8" s="34">
        <v>1.5275364E7</v>
      </c>
      <c r="T8" s="33" t="s">
        <v>863</v>
      </c>
      <c r="U8" s="33" t="s">
        <v>500</v>
      </c>
      <c r="V8" s="33" t="s">
        <v>864</v>
      </c>
      <c r="W8" s="34">
        <v>1.2690424E7</v>
      </c>
      <c r="X8" s="30"/>
      <c r="Y8" s="33" t="s">
        <v>865</v>
      </c>
      <c r="Z8" s="33" t="s">
        <v>503</v>
      </c>
      <c r="AA8" s="33" t="s">
        <v>780</v>
      </c>
      <c r="AB8" s="86" t="s">
        <v>866</v>
      </c>
      <c r="AC8" s="34">
        <v>1.3271835E7</v>
      </c>
      <c r="AD8" s="33" t="s">
        <v>506</v>
      </c>
      <c r="AE8" s="30" t="s">
        <v>511</v>
      </c>
      <c r="AF8" s="33" t="s">
        <v>867</v>
      </c>
      <c r="AG8" s="33" t="s">
        <v>868</v>
      </c>
      <c r="AH8" s="34">
        <v>0.0</v>
      </c>
      <c r="AI8" s="33" t="s">
        <v>869</v>
      </c>
      <c r="AJ8" s="33" t="s">
        <v>870</v>
      </c>
      <c r="AK8" s="30" t="s">
        <v>511</v>
      </c>
      <c r="AL8" s="33" t="s">
        <v>871</v>
      </c>
      <c r="AM8" s="30" t="s">
        <v>511</v>
      </c>
      <c r="AN8" s="30" t="s">
        <v>511</v>
      </c>
      <c r="AO8" s="33" t="s">
        <v>599</v>
      </c>
      <c r="AP8" s="30" t="s">
        <v>511</v>
      </c>
      <c r="AQ8" s="34">
        <v>1.0</v>
      </c>
      <c r="AR8" s="33" t="s">
        <v>872</v>
      </c>
      <c r="AS8" s="33" t="s">
        <v>873</v>
      </c>
      <c r="AT8" s="34">
        <v>1.0</v>
      </c>
      <c r="AU8" s="33" t="s">
        <v>874</v>
      </c>
      <c r="AV8" s="33" t="s">
        <v>875</v>
      </c>
      <c r="AW8" s="34">
        <v>0.0</v>
      </c>
      <c r="AX8" s="33" t="s">
        <v>876</v>
      </c>
      <c r="AY8" s="30" t="s">
        <v>511</v>
      </c>
      <c r="AZ8" s="34">
        <v>1.0</v>
      </c>
      <c r="BA8" s="33" t="s">
        <v>877</v>
      </c>
      <c r="BB8" s="33" t="s">
        <v>878</v>
      </c>
      <c r="BC8" s="30" t="s">
        <v>511</v>
      </c>
      <c r="BD8" s="33" t="s">
        <v>879</v>
      </c>
      <c r="BE8" s="30" t="s">
        <v>511</v>
      </c>
      <c r="BF8" s="34">
        <v>0.0</v>
      </c>
      <c r="BG8" s="33" t="s">
        <v>880</v>
      </c>
      <c r="BH8" s="33" t="s">
        <v>881</v>
      </c>
      <c r="BI8" s="34">
        <v>1.0</v>
      </c>
      <c r="BJ8" s="33" t="s">
        <v>882</v>
      </c>
      <c r="BK8" s="33" t="s">
        <v>883</v>
      </c>
      <c r="BL8" s="34">
        <v>1.0</v>
      </c>
      <c r="BM8" s="33" t="s">
        <v>884</v>
      </c>
      <c r="BN8" s="33" t="s">
        <v>885</v>
      </c>
      <c r="BO8" s="34">
        <v>1.0</v>
      </c>
      <c r="BP8" s="33" t="s">
        <v>886</v>
      </c>
      <c r="BQ8" s="33" t="s">
        <v>887</v>
      </c>
      <c r="BR8" s="34">
        <v>0.0</v>
      </c>
      <c r="BS8" s="33" t="s">
        <v>888</v>
      </c>
      <c r="BT8" s="33" t="s">
        <v>889</v>
      </c>
      <c r="BU8" s="30" t="s">
        <v>511</v>
      </c>
      <c r="BV8" s="33" t="s">
        <v>890</v>
      </c>
      <c r="BW8" s="30" t="s">
        <v>511</v>
      </c>
      <c r="BX8" s="30"/>
      <c r="BY8" s="30"/>
      <c r="BZ8" s="30"/>
      <c r="CA8" s="34">
        <v>0.0</v>
      </c>
      <c r="CB8" s="33" t="s">
        <v>891</v>
      </c>
      <c r="CC8" s="30" t="s">
        <v>511</v>
      </c>
      <c r="CD8" s="30" t="s">
        <v>511</v>
      </c>
      <c r="CE8" s="33" t="s">
        <v>892</v>
      </c>
      <c r="CF8" s="30" t="s">
        <v>511</v>
      </c>
      <c r="CG8" s="30" t="s">
        <v>511</v>
      </c>
      <c r="CH8" s="33" t="s">
        <v>539</v>
      </c>
      <c r="CI8" s="30" t="s">
        <v>511</v>
      </c>
      <c r="CJ8" s="34">
        <v>0.0</v>
      </c>
      <c r="CK8" s="33" t="s">
        <v>893</v>
      </c>
      <c r="CL8" s="30" t="s">
        <v>511</v>
      </c>
      <c r="CM8" s="34">
        <v>0.0</v>
      </c>
      <c r="CN8" s="33" t="s">
        <v>894</v>
      </c>
      <c r="CO8" s="33" t="s">
        <v>895</v>
      </c>
      <c r="CP8" s="30" t="s">
        <v>511</v>
      </c>
      <c r="CQ8" s="33" t="s">
        <v>896</v>
      </c>
      <c r="CR8" s="30" t="s">
        <v>511</v>
      </c>
      <c r="CS8" s="30" t="s">
        <v>511</v>
      </c>
      <c r="CT8" s="33" t="s">
        <v>544</v>
      </c>
      <c r="CU8" s="30" t="s">
        <v>511</v>
      </c>
      <c r="CV8" s="30" t="s">
        <v>511</v>
      </c>
      <c r="CW8" s="33" t="s">
        <v>545</v>
      </c>
      <c r="CX8" s="30" t="s">
        <v>511</v>
      </c>
      <c r="CY8" s="30" t="s">
        <v>511</v>
      </c>
      <c r="CZ8" s="33" t="s">
        <v>546</v>
      </c>
      <c r="DA8" s="30" t="s">
        <v>511</v>
      </c>
      <c r="DB8" s="30" t="s">
        <v>511</v>
      </c>
      <c r="DC8" s="33" t="s">
        <v>897</v>
      </c>
      <c r="DD8" s="30" t="s">
        <v>511</v>
      </c>
      <c r="DE8" s="34">
        <v>0.0</v>
      </c>
      <c r="DF8" s="33" t="s">
        <v>898</v>
      </c>
      <c r="DG8" s="30" t="s">
        <v>511</v>
      </c>
      <c r="DH8" s="34">
        <v>1.0</v>
      </c>
      <c r="DI8" s="33" t="s">
        <v>899</v>
      </c>
      <c r="DJ8" s="33" t="s">
        <v>900</v>
      </c>
      <c r="DK8" s="34">
        <v>1.0</v>
      </c>
      <c r="DL8" s="33" t="s">
        <v>901</v>
      </c>
      <c r="DM8" s="33" t="s">
        <v>902</v>
      </c>
      <c r="DN8" s="34">
        <v>1.0</v>
      </c>
      <c r="DO8" s="33" t="s">
        <v>903</v>
      </c>
      <c r="DP8" s="30" t="s">
        <v>511</v>
      </c>
      <c r="DQ8" s="34">
        <v>0.0</v>
      </c>
      <c r="DR8" s="33" t="s">
        <v>904</v>
      </c>
      <c r="DS8" s="33" t="s">
        <v>889</v>
      </c>
      <c r="DT8" s="34">
        <v>0.0</v>
      </c>
      <c r="DU8" s="33" t="s">
        <v>905</v>
      </c>
      <c r="DV8" s="30" t="s">
        <v>511</v>
      </c>
      <c r="DW8" s="34">
        <v>0.0</v>
      </c>
      <c r="DX8" s="33" t="s">
        <v>906</v>
      </c>
      <c r="DY8" s="30" t="s">
        <v>511</v>
      </c>
      <c r="DZ8" s="34">
        <v>72.0</v>
      </c>
      <c r="EA8" s="33" t="s">
        <v>907</v>
      </c>
      <c r="EB8" s="30" t="s">
        <v>511</v>
      </c>
      <c r="EC8" s="34">
        <v>35.0</v>
      </c>
      <c r="ED8" s="33" t="s">
        <v>908</v>
      </c>
      <c r="EE8" s="30" t="s">
        <v>511</v>
      </c>
      <c r="EF8" s="34">
        <v>1.0</v>
      </c>
      <c r="EG8" s="33" t="s">
        <v>909</v>
      </c>
      <c r="EH8" s="30" t="s">
        <v>511</v>
      </c>
      <c r="EI8" s="34">
        <v>0.0</v>
      </c>
      <c r="EJ8" s="33" t="s">
        <v>910</v>
      </c>
      <c r="EK8" s="30" t="s">
        <v>511</v>
      </c>
      <c r="EL8" s="34">
        <v>0.0</v>
      </c>
      <c r="EM8" s="33" t="s">
        <v>911</v>
      </c>
      <c r="EN8" s="30" t="s">
        <v>511</v>
      </c>
      <c r="EO8" s="34">
        <v>0.0</v>
      </c>
      <c r="EP8" s="33" t="s">
        <v>912</v>
      </c>
      <c r="EQ8" s="33" t="s">
        <v>913</v>
      </c>
      <c r="ER8" s="30"/>
      <c r="ES8" s="30"/>
      <c r="ET8" s="30"/>
      <c r="EU8" s="34">
        <v>0.0</v>
      </c>
      <c r="EV8" s="33" t="s">
        <v>914</v>
      </c>
      <c r="EW8" s="30" t="s">
        <v>511</v>
      </c>
      <c r="EX8" s="34">
        <v>0.0</v>
      </c>
      <c r="EY8" s="33" t="s">
        <v>662</v>
      </c>
      <c r="EZ8" s="30" t="s">
        <v>511</v>
      </c>
      <c r="FA8" s="34">
        <v>0.0</v>
      </c>
      <c r="FB8" s="33" t="s">
        <v>915</v>
      </c>
      <c r="FC8" s="30" t="s">
        <v>511</v>
      </c>
      <c r="FD8" s="34">
        <v>0.0</v>
      </c>
      <c r="FE8" s="33" t="s">
        <v>916</v>
      </c>
      <c r="FF8" s="30" t="s">
        <v>511</v>
      </c>
      <c r="FG8" s="34">
        <v>0.0</v>
      </c>
      <c r="FH8" s="33" t="s">
        <v>917</v>
      </c>
      <c r="FI8" s="30" t="s">
        <v>511</v>
      </c>
      <c r="FJ8" s="34">
        <v>1.0</v>
      </c>
      <c r="FK8" s="33" t="s">
        <v>918</v>
      </c>
      <c r="FL8" s="33" t="s">
        <v>919</v>
      </c>
      <c r="FM8" s="34">
        <v>0.0</v>
      </c>
      <c r="FN8" s="33" t="s">
        <v>920</v>
      </c>
      <c r="FO8" s="33" t="s">
        <v>921</v>
      </c>
      <c r="FP8" s="34">
        <v>0.0</v>
      </c>
      <c r="FQ8" s="33" t="s">
        <v>922</v>
      </c>
      <c r="FR8" s="30" t="s">
        <v>511</v>
      </c>
      <c r="FS8" s="34">
        <v>7.0</v>
      </c>
      <c r="FT8" s="33" t="s">
        <v>923</v>
      </c>
      <c r="FU8" s="33" t="s">
        <v>924</v>
      </c>
      <c r="FV8" s="34">
        <v>6.0</v>
      </c>
      <c r="FW8" s="33" t="s">
        <v>925</v>
      </c>
      <c r="FX8" s="33" t="s">
        <v>926</v>
      </c>
      <c r="FY8" s="34">
        <v>8.0</v>
      </c>
      <c r="FZ8" s="33" t="s">
        <v>927</v>
      </c>
      <c r="GA8" s="33" t="s">
        <v>928</v>
      </c>
      <c r="GB8" s="34">
        <v>21.0</v>
      </c>
      <c r="GC8" s="33" t="s">
        <v>929</v>
      </c>
      <c r="GD8" s="33" t="s">
        <v>930</v>
      </c>
      <c r="GE8" s="88" t="str">
        <f>IFERROR(SUM(R[0]C[-156],R[0]C[-153],R[0]C[-150],R[0]C[-147])/COUNT(R[0]C[-156],R[0]C[-153],R[0]C[-150],R[0]C[-147]),"Установление контакта")</f>
        <v>#ERROR!</v>
      </c>
      <c r="GF8" s="88" t="str">
        <f>IFERROR(SUM(R[0]C[-145],R[0]C[-142],R[0]C[-139],R[0]C[-136],R[0]C[-133],R[0]C[-130],R[0]C[-127])/COUNT(R[0]C[-145],R[0]C[-142],R[0]C[-139],R[0]C[-136],R[0]C[-133],R[0]C[-130],R[0]C[-127]),"Выявление потребностей")</f>
        <v>#ERROR!</v>
      </c>
      <c r="GG8" s="88" t="str">
        <f>IFERROR(SUM(R[0]C[-125],R[0]C[-122])/COUNT(R[0]C[-125],R[0]C[-122]),"Презентация продукта")</f>
        <v>#ERROR!</v>
      </c>
      <c r="GH8" s="88" t="str">
        <f>IFERROR(SUM(R[0]C[-120],R[0]C[-117])/COUNT(R[0]C[-120],R[0]C[-117]),"Предзакрытие и ФОМО")</f>
        <v>#ERROR!</v>
      </c>
      <c r="GI8" s="88" t="str">
        <f>IFERROR(SUM(R[0]C[-109],R[0]C[-106])/COUNT(R[0]C[-109],R[0]C[-106]),"Отработка возражений")</f>
        <v>#ERROR!</v>
      </c>
      <c r="GJ8" s="88" t="str">
        <f>IFERROR(SUM(R[0]C[-98],R[0]C[-95],R[0]C[-92],R[0]C[-89],R[0]C[-86])/COUNT(R[0]C[-98],R[0]C[-95],R[0]C[-92],R[0]C[-89],R[0]C[-86]),"Этап оплаты")</f>
        <v>#ERROR!</v>
      </c>
      <c r="GK8" s="88" t="str">
        <f>IFERROR(SUM(R[0]C[-84],R[0]C[-81],R[0]C[-78],R[0]C[-75])/COUNT(R[0]C[-84],R[0]C[-81],R[0]C[-78],R[0]C[-75]),"Стандарты общения")</f>
        <v>#ERROR!</v>
      </c>
      <c r="GL8" s="88" t="str">
        <f>IFERROR(SUM(R[0]C[-73],R[0]C[-70],R[0]C[-67])/COUNT(R[0]C[-73],R[0]C[-70],R[0]C[-67]),"Критические ошибки")</f>
        <v>#ERROR!</v>
      </c>
      <c r="GM8" s="89" t="str">
        <f>IFERROR(R[0]C[-62]/50,"Экспертный блок  🧠 стратегический слой: методологии 🧰 тактический: структура и фразы 🧍 поведенческий: мотивация клиента 💳 финансовый: дожим и потери")</f>
        <v>#ERROR!</v>
      </c>
      <c r="GN8" s="88" t="str">
        <f>IFERROR(SUM(R[0]C[-45],R[0]C[-42],R[0]C[-39],R[0]C[-36],R[0]C[-33])/COUNT(R[0]C[-45],R[0]C[-42],R[0]C[-39],R[0]C[-36],R[0]C[-33]),"Рекомендации")</f>
        <v>#ERROR!</v>
      </c>
      <c r="GO8" s="88" t="str">
        <f>IFERROR(SUM(R[0]C[-31],R[0]C[-28],R[0]C[-25])/COUNT(R[0]C[-31],R[0]C[-28],R[0]C[-25]),"Фильтры")</f>
        <v>#ERROR!</v>
      </c>
      <c r="GP8" s="89" t="str">
        <f>IFERROR(SUM(R[0]C[-23],R[0]C[-20],R[0]C[-17])/COUNT(R[0]C[-23],R[0]C[-20],R[0]C[-17]),"Скоринг")</f>
        <v>#ERROR!</v>
      </c>
      <c r="GQ8" s="90" t="str">
        <f>IFERROR(
SUM(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
COUNT(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f>
        <v>#ERROR!</v>
      </c>
      <c r="GR8" s="91" t="str">
        <f t="shared" si="2"/>
        <v>#REF!</v>
      </c>
      <c r="GS8" s="92" t="str">
        <f>IF((R[0]C[-26]+R[0]C[-23]+R[0]C[-20])&lt;hidden!R[-1]C[-199],hidden!R[-1]C[-197], IF((R[0]C[-26]+R[0]C[-23]+R[0]C[-20])&lt;hidden!R[-1]C[-198],hidden!R[-1]C[-196],hidden!R[-1]C[-195]))</f>
        <v>#ERROR!</v>
      </c>
      <c r="GT8" s="92" t="str">
        <f>IF(R[0]C[-27]&lt;=hidden!R[-1]C[-195],hidden!R[-1]C[-193], IF(R[0]C[-27]&lt;=hidden!R[-1]C[-194],hidden!R[-1]C[-192],hidden!R[-1]C[-191]))</f>
        <v>#ERROR!</v>
      </c>
      <c r="GU8" s="92" t="str">
        <f>IF(R[0]C[-25]&lt;=hidden!R[-1]C[-196],hidden!R[-1]C[-194], IF(R[0]C[-25]&lt;=hidden!R[-1]C[-195],hidden!R[-1]C[-193],hidden!R[-1]C[-192]))</f>
        <v>#ERROR!</v>
      </c>
      <c r="GV8" s="93" t="str">
        <f>IF(R[0]C[-23]&lt;=hidden!R[-1]C[-197],hidden!R[-1]C[-195], IF(R[0]C[-23]&lt;=hidden!R[-1]C[-196],hidden!R[-1]C[-194],hidden!R[-1]C[-193]))</f>
        <v>#ERROR!</v>
      </c>
      <c r="GW8" s="93" t="str">
        <f>TEXT(R[0]C[-194], "yyyy.mm")</f>
        <v>#ERROR!</v>
      </c>
      <c r="GX8" s="24"/>
      <c r="GY8" s="24"/>
      <c r="GZ8" s="24"/>
    </row>
    <row r="9" ht="24.0" customHeight="1">
      <c r="A9" s="34">
        <v>6.0</v>
      </c>
      <c r="B9" s="94" t="s">
        <v>931</v>
      </c>
      <c r="C9" s="86" t="s">
        <v>932</v>
      </c>
      <c r="D9" s="33" t="s">
        <v>491</v>
      </c>
      <c r="E9" s="30"/>
      <c r="F9" s="30"/>
      <c r="G9" s="30"/>
      <c r="H9" s="30"/>
      <c r="I9" s="33" t="s">
        <v>492</v>
      </c>
      <c r="J9" s="30"/>
      <c r="K9" s="87" t="s">
        <v>933</v>
      </c>
      <c r="L9" s="34">
        <v>2285.0</v>
      </c>
      <c r="M9" s="33" t="s">
        <v>934</v>
      </c>
      <c r="N9" s="87" t="s">
        <v>935</v>
      </c>
      <c r="O9" s="33" t="s">
        <v>496</v>
      </c>
      <c r="P9" s="33" t="s">
        <v>936</v>
      </c>
      <c r="Q9" s="33" t="s">
        <v>498</v>
      </c>
      <c r="R9" s="34">
        <v>28.0</v>
      </c>
      <c r="S9" s="34">
        <v>1.5241484E7</v>
      </c>
      <c r="T9" s="33" t="s">
        <v>937</v>
      </c>
      <c r="U9" s="33" t="s">
        <v>500</v>
      </c>
      <c r="V9" s="33" t="s">
        <v>938</v>
      </c>
      <c r="W9" s="34">
        <v>1.265581E7</v>
      </c>
      <c r="X9" s="30"/>
      <c r="Y9" s="33" t="s">
        <v>939</v>
      </c>
      <c r="Z9" s="33" t="s">
        <v>503</v>
      </c>
      <c r="AA9" s="33" t="s">
        <v>780</v>
      </c>
      <c r="AB9" s="86" t="s">
        <v>940</v>
      </c>
      <c r="AC9" s="34">
        <v>1.2994847E7</v>
      </c>
      <c r="AD9" s="33" t="s">
        <v>782</v>
      </c>
      <c r="AE9" s="34">
        <v>1.0</v>
      </c>
      <c r="AF9" s="33" t="s">
        <v>941</v>
      </c>
      <c r="AG9" s="33" t="s">
        <v>942</v>
      </c>
      <c r="AH9" s="34">
        <v>1.0</v>
      </c>
      <c r="AI9" s="33" t="s">
        <v>943</v>
      </c>
      <c r="AJ9" s="33" t="s">
        <v>944</v>
      </c>
      <c r="AK9" s="34">
        <v>0.0</v>
      </c>
      <c r="AL9" s="33" t="s">
        <v>598</v>
      </c>
      <c r="AM9" s="30" t="s">
        <v>511</v>
      </c>
      <c r="AN9" s="34">
        <v>0.0</v>
      </c>
      <c r="AO9" s="33" t="s">
        <v>599</v>
      </c>
      <c r="AP9" s="30" t="s">
        <v>511</v>
      </c>
      <c r="AQ9" s="34">
        <v>1.0</v>
      </c>
      <c r="AR9" s="33" t="s">
        <v>945</v>
      </c>
      <c r="AS9" s="33" t="s">
        <v>946</v>
      </c>
      <c r="AT9" s="34">
        <v>1.0</v>
      </c>
      <c r="AU9" s="33" t="s">
        <v>947</v>
      </c>
      <c r="AV9" s="33" t="s">
        <v>948</v>
      </c>
      <c r="AW9" s="34">
        <v>0.0</v>
      </c>
      <c r="AX9" s="33" t="s">
        <v>949</v>
      </c>
      <c r="AY9" s="30" t="s">
        <v>511</v>
      </c>
      <c r="AZ9" s="34">
        <v>1.0</v>
      </c>
      <c r="BA9" s="33" t="s">
        <v>950</v>
      </c>
      <c r="BB9" s="33" t="s">
        <v>951</v>
      </c>
      <c r="BC9" s="34">
        <v>0.0</v>
      </c>
      <c r="BD9" s="33" t="s">
        <v>952</v>
      </c>
      <c r="BE9" s="30" t="s">
        <v>511</v>
      </c>
      <c r="BF9" s="34">
        <v>1.0</v>
      </c>
      <c r="BG9" s="33" t="s">
        <v>953</v>
      </c>
      <c r="BH9" s="33" t="s">
        <v>954</v>
      </c>
      <c r="BI9" s="34">
        <v>1.0</v>
      </c>
      <c r="BJ9" s="33" t="s">
        <v>955</v>
      </c>
      <c r="BK9" s="33" t="s">
        <v>956</v>
      </c>
      <c r="BL9" s="34">
        <v>1.0</v>
      </c>
      <c r="BM9" s="33" t="s">
        <v>957</v>
      </c>
      <c r="BN9" s="33" t="s">
        <v>958</v>
      </c>
      <c r="BO9" s="34">
        <v>1.0</v>
      </c>
      <c r="BP9" s="33" t="s">
        <v>959</v>
      </c>
      <c r="BQ9" s="33" t="s">
        <v>960</v>
      </c>
      <c r="BR9" s="34">
        <v>0.0</v>
      </c>
      <c r="BS9" s="33" t="s">
        <v>961</v>
      </c>
      <c r="BT9" s="30" t="s">
        <v>511</v>
      </c>
      <c r="BU9" s="34">
        <v>1.0</v>
      </c>
      <c r="BV9" s="33" t="s">
        <v>962</v>
      </c>
      <c r="BW9" s="33" t="s">
        <v>963</v>
      </c>
      <c r="BX9" s="30"/>
      <c r="BY9" s="30"/>
      <c r="BZ9" s="30"/>
      <c r="CA9" s="34">
        <v>0.0</v>
      </c>
      <c r="CB9" s="33" t="s">
        <v>964</v>
      </c>
      <c r="CC9" s="33" t="s">
        <v>965</v>
      </c>
      <c r="CD9" s="34">
        <v>0.0</v>
      </c>
      <c r="CE9" s="33" t="s">
        <v>966</v>
      </c>
      <c r="CF9" s="33" t="s">
        <v>967</v>
      </c>
      <c r="CG9" s="34">
        <v>0.0</v>
      </c>
      <c r="CH9" s="33" t="s">
        <v>968</v>
      </c>
      <c r="CI9" s="33" t="s">
        <v>969</v>
      </c>
      <c r="CJ9" s="34">
        <v>0.0</v>
      </c>
      <c r="CK9" s="33" t="s">
        <v>970</v>
      </c>
      <c r="CL9" s="30" t="s">
        <v>511</v>
      </c>
      <c r="CM9" s="34">
        <v>0.0</v>
      </c>
      <c r="CN9" s="33" t="s">
        <v>971</v>
      </c>
      <c r="CO9" s="33" t="s">
        <v>972</v>
      </c>
      <c r="CP9" s="34">
        <v>1.0</v>
      </c>
      <c r="CQ9" s="33" t="s">
        <v>973</v>
      </c>
      <c r="CR9" s="33" t="s">
        <v>974</v>
      </c>
      <c r="CS9" s="34">
        <v>1.0</v>
      </c>
      <c r="CT9" s="33" t="s">
        <v>975</v>
      </c>
      <c r="CU9" s="33" t="s">
        <v>976</v>
      </c>
      <c r="CV9" s="34">
        <v>0.0</v>
      </c>
      <c r="CW9" s="33" t="s">
        <v>977</v>
      </c>
      <c r="CX9" s="30" t="s">
        <v>511</v>
      </c>
      <c r="CY9" s="34">
        <v>0.0</v>
      </c>
      <c r="CZ9" s="33" t="s">
        <v>978</v>
      </c>
      <c r="DA9" s="33" t="s">
        <v>969</v>
      </c>
      <c r="DB9" s="34">
        <v>1.0</v>
      </c>
      <c r="DC9" s="33" t="s">
        <v>979</v>
      </c>
      <c r="DD9" s="33" t="s">
        <v>980</v>
      </c>
      <c r="DE9" s="34">
        <v>0.0</v>
      </c>
      <c r="DF9" s="33" t="s">
        <v>981</v>
      </c>
      <c r="DG9" s="30" t="s">
        <v>511</v>
      </c>
      <c r="DH9" s="34">
        <v>1.0</v>
      </c>
      <c r="DI9" s="33" t="s">
        <v>982</v>
      </c>
      <c r="DJ9" s="33" t="s">
        <v>983</v>
      </c>
      <c r="DK9" s="34">
        <v>1.0</v>
      </c>
      <c r="DL9" s="33" t="s">
        <v>984</v>
      </c>
      <c r="DM9" s="33" t="s">
        <v>985</v>
      </c>
      <c r="DN9" s="34">
        <v>1.0</v>
      </c>
      <c r="DO9" s="33" t="s">
        <v>986</v>
      </c>
      <c r="DP9" s="30" t="s">
        <v>511</v>
      </c>
      <c r="DQ9" s="34">
        <v>0.0</v>
      </c>
      <c r="DR9" s="33" t="s">
        <v>987</v>
      </c>
      <c r="DS9" s="33" t="s">
        <v>988</v>
      </c>
      <c r="DT9" s="34">
        <v>1.0</v>
      </c>
      <c r="DU9" s="33" t="s">
        <v>989</v>
      </c>
      <c r="DV9" s="33" t="s">
        <v>990</v>
      </c>
      <c r="DW9" s="34">
        <v>0.0</v>
      </c>
      <c r="DX9" s="33" t="s">
        <v>991</v>
      </c>
      <c r="DY9" s="30" t="s">
        <v>511</v>
      </c>
      <c r="DZ9" s="34">
        <v>76.0</v>
      </c>
      <c r="EA9" s="33" t="s">
        <v>992</v>
      </c>
      <c r="EB9" s="30" t="s">
        <v>511</v>
      </c>
      <c r="EC9" s="34">
        <v>33.0</v>
      </c>
      <c r="ED9" s="33" t="s">
        <v>993</v>
      </c>
      <c r="EE9" s="30" t="s">
        <v>511</v>
      </c>
      <c r="EF9" s="34">
        <v>0.0</v>
      </c>
      <c r="EG9" s="33" t="s">
        <v>994</v>
      </c>
      <c r="EH9" s="30" t="s">
        <v>511</v>
      </c>
      <c r="EI9" s="34">
        <v>0.0</v>
      </c>
      <c r="EJ9" s="33" t="s">
        <v>995</v>
      </c>
      <c r="EK9" s="30" t="s">
        <v>511</v>
      </c>
      <c r="EL9" s="34">
        <v>0.0</v>
      </c>
      <c r="EM9" s="33" t="s">
        <v>996</v>
      </c>
      <c r="EN9" s="30" t="s">
        <v>511</v>
      </c>
      <c r="EO9" s="34">
        <v>1.0</v>
      </c>
      <c r="EP9" s="33" t="s">
        <v>997</v>
      </c>
      <c r="EQ9" s="33" t="s">
        <v>998</v>
      </c>
      <c r="ER9" s="30"/>
      <c r="ES9" s="30"/>
      <c r="ET9" s="30"/>
      <c r="EU9" s="34">
        <v>0.0</v>
      </c>
      <c r="EV9" s="33" t="s">
        <v>999</v>
      </c>
      <c r="EW9" s="30" t="s">
        <v>511</v>
      </c>
      <c r="EX9" s="34">
        <v>1.0</v>
      </c>
      <c r="EY9" s="33" t="s">
        <v>1000</v>
      </c>
      <c r="EZ9" s="33" t="s">
        <v>1001</v>
      </c>
      <c r="FA9" s="34">
        <v>0.0</v>
      </c>
      <c r="FB9" s="33" t="s">
        <v>1002</v>
      </c>
      <c r="FC9" s="30" t="s">
        <v>511</v>
      </c>
      <c r="FD9" s="34">
        <v>0.0</v>
      </c>
      <c r="FE9" s="33" t="s">
        <v>1003</v>
      </c>
      <c r="FF9" s="30" t="s">
        <v>511</v>
      </c>
      <c r="FG9" s="34">
        <v>0.0</v>
      </c>
      <c r="FH9" s="33" t="s">
        <v>1004</v>
      </c>
      <c r="FI9" s="33" t="s">
        <v>1005</v>
      </c>
      <c r="FJ9" s="34">
        <v>0.0</v>
      </c>
      <c r="FK9" s="33" t="s">
        <v>1006</v>
      </c>
      <c r="FL9" s="33" t="s">
        <v>1007</v>
      </c>
      <c r="FM9" s="34">
        <v>0.0</v>
      </c>
      <c r="FN9" s="33" t="s">
        <v>1008</v>
      </c>
      <c r="FO9" s="33" t="s">
        <v>1009</v>
      </c>
      <c r="FP9" s="34">
        <v>0.0</v>
      </c>
      <c r="FQ9" s="33" t="s">
        <v>1010</v>
      </c>
      <c r="FR9" s="30" t="s">
        <v>511</v>
      </c>
      <c r="FS9" s="34">
        <v>3.0</v>
      </c>
      <c r="FT9" s="33" t="s">
        <v>1011</v>
      </c>
      <c r="FU9" s="33" t="s">
        <v>1012</v>
      </c>
      <c r="FV9" s="34">
        <v>6.0</v>
      </c>
      <c r="FW9" s="33" t="s">
        <v>1013</v>
      </c>
      <c r="FX9" s="33" t="s">
        <v>1014</v>
      </c>
      <c r="FY9" s="34">
        <v>8.0</v>
      </c>
      <c r="FZ9" s="33" t="s">
        <v>1015</v>
      </c>
      <c r="GA9" s="33" t="s">
        <v>1016</v>
      </c>
      <c r="GB9" s="34">
        <v>17.0</v>
      </c>
      <c r="GC9" s="33" t="s">
        <v>1017</v>
      </c>
      <c r="GD9" s="33" t="s">
        <v>1018</v>
      </c>
      <c r="GE9" s="88" t="str">
        <f>IFERROR(SUM(R[0]C[-156],R[0]C[-153],R[0]C[-150],R[0]C[-147])/COUNT(R[0]C[-156],R[0]C[-153],R[0]C[-150],R[0]C[-147]),"Установление контакта")</f>
        <v>#ERROR!</v>
      </c>
      <c r="GF9" s="88" t="str">
        <f>IFERROR(SUM(R[0]C[-145],R[0]C[-142],R[0]C[-139],R[0]C[-136],R[0]C[-133],R[0]C[-130],R[0]C[-127])/COUNT(R[0]C[-145],R[0]C[-142],R[0]C[-139],R[0]C[-136],R[0]C[-133],R[0]C[-130],R[0]C[-127]),"Выявление потребностей")</f>
        <v>#ERROR!</v>
      </c>
      <c r="GG9" s="88" t="str">
        <f>IFERROR(SUM(R[0]C[-125],R[0]C[-122])/COUNT(R[0]C[-125],R[0]C[-122]),"Презентация продукта")</f>
        <v>#ERROR!</v>
      </c>
      <c r="GH9" s="88" t="str">
        <f>IFERROR(SUM(R[0]C[-120],R[0]C[-117])/COUNT(R[0]C[-120],R[0]C[-117]),"Предзакрытие и ФОМО")</f>
        <v>#ERROR!</v>
      </c>
      <c r="GI9" s="88" t="str">
        <f>IFERROR(SUM(R[0]C[-109],R[0]C[-106])/COUNT(R[0]C[-109],R[0]C[-106]),"Отработка возражений")</f>
        <v>#ERROR!</v>
      </c>
      <c r="GJ9" s="88" t="str">
        <f>IFERROR(SUM(R[0]C[-98],R[0]C[-95],R[0]C[-92],R[0]C[-89],R[0]C[-86])/COUNT(R[0]C[-98],R[0]C[-95],R[0]C[-92],R[0]C[-89],R[0]C[-86]),"Этап оплаты")</f>
        <v>#ERROR!</v>
      </c>
      <c r="GK9" s="88" t="str">
        <f>IFERROR(SUM(R[0]C[-84],R[0]C[-81],R[0]C[-78],R[0]C[-75])/COUNT(R[0]C[-84],R[0]C[-81],R[0]C[-78],R[0]C[-75]),"Стандарты общения")</f>
        <v>#ERROR!</v>
      </c>
      <c r="GL9" s="88" t="str">
        <f>IFERROR(SUM(R[0]C[-73],R[0]C[-70],R[0]C[-67])/COUNT(R[0]C[-73],R[0]C[-70],R[0]C[-67]),"Критические ошибки")</f>
        <v>#ERROR!</v>
      </c>
      <c r="GM9" s="89" t="str">
        <f>IFERROR(R[0]C[-62]/50,"Экспертный блок  🧠 стратегический слой: методологии 🧰 тактический: структура и фразы 🧍 поведенческий: мотивация клиента 💳 финансовый: дожим и потери")</f>
        <v>#ERROR!</v>
      </c>
      <c r="GN9" s="88" t="str">
        <f>IFERROR(SUM(R[0]C[-45],R[0]C[-42],R[0]C[-39],R[0]C[-36],R[0]C[-33])/COUNT(R[0]C[-45],R[0]C[-42],R[0]C[-39],R[0]C[-36],R[0]C[-33]),"Рекомендации")</f>
        <v>#ERROR!</v>
      </c>
      <c r="GO9" s="88" t="str">
        <f>IFERROR(SUM(R[0]C[-31],R[0]C[-28],R[0]C[-25])/COUNT(R[0]C[-31],R[0]C[-28],R[0]C[-25]),"Фильтры")</f>
        <v>#ERROR!</v>
      </c>
      <c r="GP9" s="89" t="str">
        <f>IFERROR(SUM(R[0]C[-23],R[0]C[-20],R[0]C[-17])/COUNT(R[0]C[-23],R[0]C[-20],R[0]C[-17]),"Скоринг")</f>
        <v>#ERROR!</v>
      </c>
      <c r="GQ9" s="90" t="str">
        <f>IFERROR(
SUM(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
COUNT(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f>
        <v>#ERROR!</v>
      </c>
      <c r="GR9" s="91" t="str">
        <f t="shared" si="2"/>
        <v>#REF!</v>
      </c>
      <c r="GS9" s="92" t="str">
        <f>IF((R[0]C[-26]+R[0]C[-23]+R[0]C[-20])&lt;hidden!R[-1]C[-199],hidden!R[-1]C[-197], IF((R[0]C[-26]+R[0]C[-23]+R[0]C[-20])&lt;hidden!R[-1]C[-198],hidden!R[-1]C[-196],hidden!R[-1]C[-195]))</f>
        <v>#ERROR!</v>
      </c>
      <c r="GT9" s="92" t="str">
        <f>IF(R[0]C[-27]&lt;=hidden!R[-1]C[-195],hidden!R[-1]C[-193], IF(R[0]C[-27]&lt;=hidden!R[-1]C[-194],hidden!R[-1]C[-192],hidden!R[-1]C[-191]))</f>
        <v>#ERROR!</v>
      </c>
      <c r="GU9" s="92" t="str">
        <f>IF(R[0]C[-25]&lt;=hidden!R[-1]C[-196],hidden!R[-1]C[-194], IF(R[0]C[-25]&lt;=hidden!R[-1]C[-195],hidden!R[-1]C[-193],hidden!R[-1]C[-192]))</f>
        <v>#ERROR!</v>
      </c>
      <c r="GV9" s="93" t="str">
        <f>IF(R[0]C[-23]&lt;=hidden!R[-1]C[-197],hidden!R[-1]C[-195], IF(R[0]C[-23]&lt;=hidden!R[-1]C[-196],hidden!R[-1]C[-194],hidden!R[-1]C[-193]))</f>
        <v>#ERROR!</v>
      </c>
      <c r="GW9" s="93" t="str">
        <f>TEXT(R[0]C[-194], "yyyy.mm")</f>
        <v>#ERROR!</v>
      </c>
      <c r="GX9" s="24"/>
      <c r="GY9" s="24"/>
      <c r="GZ9" s="24"/>
    </row>
    <row r="10" ht="24.0" customHeight="1">
      <c r="A10" s="34">
        <v>7.0</v>
      </c>
      <c r="B10" s="94" t="s">
        <v>1019</v>
      </c>
      <c r="C10" s="86" t="s">
        <v>1020</v>
      </c>
      <c r="D10" s="33" t="s">
        <v>858</v>
      </c>
      <c r="E10" s="30"/>
      <c r="F10" s="30"/>
      <c r="G10" s="30"/>
      <c r="H10" s="30"/>
      <c r="I10" s="33" t="s">
        <v>492</v>
      </c>
      <c r="J10" s="30"/>
      <c r="K10" s="87" t="s">
        <v>859</v>
      </c>
      <c r="L10" s="34">
        <v>2430.0</v>
      </c>
      <c r="M10" s="33" t="s">
        <v>1021</v>
      </c>
      <c r="N10" s="87" t="s">
        <v>1022</v>
      </c>
      <c r="O10" s="33" t="s">
        <v>496</v>
      </c>
      <c r="P10" s="33" t="s">
        <v>1023</v>
      </c>
      <c r="Q10" s="33" t="s">
        <v>498</v>
      </c>
      <c r="R10" s="34">
        <v>28.0</v>
      </c>
      <c r="S10" s="34">
        <v>1.5286174E7</v>
      </c>
      <c r="T10" s="33" t="s">
        <v>1024</v>
      </c>
      <c r="U10" s="33" t="s">
        <v>500</v>
      </c>
      <c r="V10" s="33" t="s">
        <v>1025</v>
      </c>
      <c r="W10" s="34">
        <v>1.2701738E7</v>
      </c>
      <c r="X10" s="30"/>
      <c r="Y10" s="33" t="s">
        <v>1026</v>
      </c>
      <c r="Z10" s="33" t="s">
        <v>503</v>
      </c>
      <c r="AA10" s="33" t="s">
        <v>780</v>
      </c>
      <c r="AB10" s="86" t="s">
        <v>1027</v>
      </c>
      <c r="AC10" s="34">
        <v>1.3271835E7</v>
      </c>
      <c r="AD10" s="33" t="s">
        <v>506</v>
      </c>
      <c r="AE10" s="34">
        <v>1.0</v>
      </c>
      <c r="AF10" s="33" t="s">
        <v>1028</v>
      </c>
      <c r="AG10" s="33" t="s">
        <v>1029</v>
      </c>
      <c r="AH10" s="34">
        <v>1.0</v>
      </c>
      <c r="AI10" s="33" t="s">
        <v>1030</v>
      </c>
      <c r="AJ10" s="33" t="s">
        <v>1031</v>
      </c>
      <c r="AK10" s="30" t="s">
        <v>511</v>
      </c>
      <c r="AL10" s="33" t="s">
        <v>1032</v>
      </c>
      <c r="AM10" s="30" t="s">
        <v>511</v>
      </c>
      <c r="AN10" s="30" t="s">
        <v>511</v>
      </c>
      <c r="AO10" s="33" t="s">
        <v>599</v>
      </c>
      <c r="AP10" s="30" t="s">
        <v>511</v>
      </c>
      <c r="AQ10" s="34">
        <v>1.0</v>
      </c>
      <c r="AR10" s="33" t="s">
        <v>1033</v>
      </c>
      <c r="AS10" s="33" t="s">
        <v>1034</v>
      </c>
      <c r="AT10" s="34">
        <v>1.0</v>
      </c>
      <c r="AU10" s="33" t="s">
        <v>1035</v>
      </c>
      <c r="AV10" s="33" t="s">
        <v>1036</v>
      </c>
      <c r="AW10" s="34">
        <v>0.0</v>
      </c>
      <c r="AX10" s="33" t="s">
        <v>1037</v>
      </c>
      <c r="AY10" s="30" t="s">
        <v>511</v>
      </c>
      <c r="AZ10" s="34">
        <v>1.0</v>
      </c>
      <c r="BA10" s="33" t="s">
        <v>1038</v>
      </c>
      <c r="BB10" s="33" t="s">
        <v>1039</v>
      </c>
      <c r="BC10" s="34">
        <v>1.0</v>
      </c>
      <c r="BD10" s="33" t="s">
        <v>1040</v>
      </c>
      <c r="BE10" s="33" t="s">
        <v>1041</v>
      </c>
      <c r="BF10" s="34">
        <v>1.0</v>
      </c>
      <c r="BG10" s="33" t="s">
        <v>1042</v>
      </c>
      <c r="BH10" s="33" t="s">
        <v>1043</v>
      </c>
      <c r="BI10" s="34">
        <v>1.0</v>
      </c>
      <c r="BJ10" s="33" t="s">
        <v>1044</v>
      </c>
      <c r="BK10" s="33" t="s">
        <v>1045</v>
      </c>
      <c r="BL10" s="34">
        <v>1.0</v>
      </c>
      <c r="BM10" s="33" t="s">
        <v>1046</v>
      </c>
      <c r="BN10" s="33" t="s">
        <v>1047</v>
      </c>
      <c r="BO10" s="34">
        <v>1.0</v>
      </c>
      <c r="BP10" s="33" t="s">
        <v>1048</v>
      </c>
      <c r="BQ10" s="33" t="s">
        <v>1049</v>
      </c>
      <c r="BR10" s="34">
        <v>1.0</v>
      </c>
      <c r="BS10" s="33" t="s">
        <v>1050</v>
      </c>
      <c r="BT10" s="33" t="s">
        <v>1051</v>
      </c>
      <c r="BU10" s="34">
        <v>1.0</v>
      </c>
      <c r="BV10" s="33" t="s">
        <v>1052</v>
      </c>
      <c r="BW10" s="33" t="s">
        <v>1053</v>
      </c>
      <c r="BX10" s="30"/>
      <c r="BY10" s="30"/>
      <c r="BZ10" s="30"/>
      <c r="CA10" s="34">
        <v>0.0</v>
      </c>
      <c r="CB10" s="33" t="s">
        <v>1054</v>
      </c>
      <c r="CC10" s="33" t="s">
        <v>1055</v>
      </c>
      <c r="CD10" s="34">
        <v>1.0</v>
      </c>
      <c r="CE10" s="33" t="s">
        <v>1056</v>
      </c>
      <c r="CF10" s="33" t="s">
        <v>1057</v>
      </c>
      <c r="CG10" s="34">
        <v>1.0</v>
      </c>
      <c r="CH10" s="33" t="s">
        <v>1058</v>
      </c>
      <c r="CI10" s="33" t="s">
        <v>1059</v>
      </c>
      <c r="CJ10" s="34">
        <v>0.0</v>
      </c>
      <c r="CK10" s="33" t="s">
        <v>1060</v>
      </c>
      <c r="CL10" s="33" t="s">
        <v>1061</v>
      </c>
      <c r="CM10" s="34">
        <v>0.0</v>
      </c>
      <c r="CN10" s="33" t="s">
        <v>1062</v>
      </c>
      <c r="CO10" s="33" t="s">
        <v>1063</v>
      </c>
      <c r="CP10" s="34">
        <v>0.0</v>
      </c>
      <c r="CQ10" s="33" t="s">
        <v>1064</v>
      </c>
      <c r="CR10" s="33" t="s">
        <v>1065</v>
      </c>
      <c r="CS10" s="34">
        <v>1.0</v>
      </c>
      <c r="CT10" s="33" t="s">
        <v>1066</v>
      </c>
      <c r="CU10" s="33" t="s">
        <v>1067</v>
      </c>
      <c r="CV10" s="34">
        <v>1.0</v>
      </c>
      <c r="CW10" s="33" t="s">
        <v>1068</v>
      </c>
      <c r="CX10" s="33" t="s">
        <v>1069</v>
      </c>
      <c r="CY10" s="34">
        <v>0.0</v>
      </c>
      <c r="CZ10" s="33" t="s">
        <v>1070</v>
      </c>
      <c r="DA10" s="33" t="s">
        <v>1071</v>
      </c>
      <c r="DB10" s="34">
        <v>1.0</v>
      </c>
      <c r="DC10" s="33" t="s">
        <v>1072</v>
      </c>
      <c r="DD10" s="33" t="s">
        <v>1073</v>
      </c>
      <c r="DE10" s="34">
        <v>0.0</v>
      </c>
      <c r="DF10" s="33" t="s">
        <v>1074</v>
      </c>
      <c r="DG10" s="30" t="s">
        <v>511</v>
      </c>
      <c r="DH10" s="34">
        <v>1.0</v>
      </c>
      <c r="DI10" s="33" t="s">
        <v>1075</v>
      </c>
      <c r="DJ10" s="33" t="s">
        <v>1076</v>
      </c>
      <c r="DK10" s="34">
        <v>1.0</v>
      </c>
      <c r="DL10" s="33" t="s">
        <v>1077</v>
      </c>
      <c r="DM10" s="33" t="s">
        <v>1078</v>
      </c>
      <c r="DN10" s="34">
        <v>1.0</v>
      </c>
      <c r="DO10" s="33" t="s">
        <v>1079</v>
      </c>
      <c r="DP10" s="33" t="s">
        <v>1080</v>
      </c>
      <c r="DQ10" s="34">
        <v>0.0</v>
      </c>
      <c r="DR10" s="33" t="s">
        <v>1081</v>
      </c>
      <c r="DS10" s="30" t="s">
        <v>511</v>
      </c>
      <c r="DT10" s="34">
        <v>1.0</v>
      </c>
      <c r="DU10" s="33" t="s">
        <v>1082</v>
      </c>
      <c r="DV10" s="33" t="s">
        <v>1083</v>
      </c>
      <c r="DW10" s="34">
        <v>0.0</v>
      </c>
      <c r="DX10" s="33" t="s">
        <v>1084</v>
      </c>
      <c r="DY10" s="30" t="s">
        <v>511</v>
      </c>
      <c r="DZ10" s="34">
        <v>73.0</v>
      </c>
      <c r="EA10" s="33" t="s">
        <v>1085</v>
      </c>
      <c r="EB10" s="33" t="s">
        <v>1086</v>
      </c>
      <c r="EC10" s="34">
        <v>37.0</v>
      </c>
      <c r="ED10" s="33" t="s">
        <v>1087</v>
      </c>
      <c r="EE10" s="33" t="s">
        <v>1088</v>
      </c>
      <c r="EF10" s="34">
        <v>1.0</v>
      </c>
      <c r="EG10" s="33" t="s">
        <v>1089</v>
      </c>
      <c r="EH10" s="33" t="s">
        <v>1090</v>
      </c>
      <c r="EI10" s="34">
        <v>0.0</v>
      </c>
      <c r="EJ10" s="33" t="s">
        <v>1091</v>
      </c>
      <c r="EK10" s="33" t="s">
        <v>1092</v>
      </c>
      <c r="EL10" s="34">
        <v>0.0</v>
      </c>
      <c r="EM10" s="33" t="s">
        <v>1093</v>
      </c>
      <c r="EN10" s="33" t="s">
        <v>1094</v>
      </c>
      <c r="EO10" s="34">
        <v>0.0</v>
      </c>
      <c r="EP10" s="33" t="s">
        <v>1095</v>
      </c>
      <c r="EQ10" s="33" t="s">
        <v>1096</v>
      </c>
      <c r="ER10" s="30"/>
      <c r="ES10" s="30"/>
      <c r="ET10" s="30"/>
      <c r="EU10" s="34">
        <v>0.0</v>
      </c>
      <c r="EV10" s="33" t="s">
        <v>1097</v>
      </c>
      <c r="EW10" s="33" t="s">
        <v>1098</v>
      </c>
      <c r="EX10" s="34">
        <v>0.0</v>
      </c>
      <c r="EY10" s="33" t="s">
        <v>662</v>
      </c>
      <c r="EZ10" s="30" t="s">
        <v>511</v>
      </c>
      <c r="FA10" s="34">
        <v>0.0</v>
      </c>
      <c r="FB10" s="33" t="s">
        <v>1099</v>
      </c>
      <c r="FC10" s="33" t="s">
        <v>1100</v>
      </c>
      <c r="FD10" s="34">
        <v>0.0</v>
      </c>
      <c r="FE10" s="33" t="s">
        <v>1101</v>
      </c>
      <c r="FF10" s="33" t="s">
        <v>1102</v>
      </c>
      <c r="FG10" s="34">
        <v>0.0</v>
      </c>
      <c r="FH10" s="33" t="s">
        <v>1103</v>
      </c>
      <c r="FI10" s="33" t="s">
        <v>1104</v>
      </c>
      <c r="FJ10" s="34">
        <v>0.0</v>
      </c>
      <c r="FK10" s="33" t="s">
        <v>1105</v>
      </c>
      <c r="FL10" s="33" t="s">
        <v>1106</v>
      </c>
      <c r="FM10" s="34">
        <v>0.0</v>
      </c>
      <c r="FN10" s="33" t="s">
        <v>1107</v>
      </c>
      <c r="FO10" s="33" t="s">
        <v>1108</v>
      </c>
      <c r="FP10" s="34">
        <v>0.0</v>
      </c>
      <c r="FQ10" s="33" t="s">
        <v>1109</v>
      </c>
      <c r="FR10" s="30" t="s">
        <v>511</v>
      </c>
      <c r="FS10" s="34">
        <v>8.0</v>
      </c>
      <c r="FT10" s="33" t="s">
        <v>1110</v>
      </c>
      <c r="FU10" s="33" t="s">
        <v>1111</v>
      </c>
      <c r="FV10" s="34">
        <v>7.0</v>
      </c>
      <c r="FW10" s="33" t="s">
        <v>1112</v>
      </c>
      <c r="FX10" s="33" t="s">
        <v>1113</v>
      </c>
      <c r="FY10" s="34">
        <v>9.0</v>
      </c>
      <c r="FZ10" s="33" t="s">
        <v>1114</v>
      </c>
      <c r="GA10" s="33" t="s">
        <v>1115</v>
      </c>
      <c r="GB10" s="34">
        <v>24.0</v>
      </c>
      <c r="GC10" s="33" t="s">
        <v>1116</v>
      </c>
      <c r="GD10" s="33" t="s">
        <v>1117</v>
      </c>
      <c r="GE10" s="88" t="str">
        <f>IFERROR(SUM(R[0]C[-156],R[0]C[-153],R[0]C[-150],R[0]C[-147])/COUNT(R[0]C[-156],R[0]C[-153],R[0]C[-150],R[0]C[-147]),"Установление контакта")</f>
        <v>#ERROR!</v>
      </c>
      <c r="GF10" s="88" t="str">
        <f>IFERROR(SUM(R[0]C[-145],R[0]C[-142],R[0]C[-139],R[0]C[-136],R[0]C[-133],R[0]C[-130],R[0]C[-127])/COUNT(R[0]C[-145],R[0]C[-142],R[0]C[-139],R[0]C[-136],R[0]C[-133],R[0]C[-130],R[0]C[-127]),"Выявление потребностей")</f>
        <v>#ERROR!</v>
      </c>
      <c r="GG10" s="88" t="str">
        <f>IFERROR(SUM(R[0]C[-125],R[0]C[-122])/COUNT(R[0]C[-125],R[0]C[-122]),"Презентация продукта")</f>
        <v>#ERROR!</v>
      </c>
      <c r="GH10" s="88" t="str">
        <f>IFERROR(SUM(R[0]C[-120],R[0]C[-117])/COUNT(R[0]C[-120],R[0]C[-117]),"Предзакрытие и ФОМО")</f>
        <v>#ERROR!</v>
      </c>
      <c r="GI10" s="88" t="str">
        <f>IFERROR(SUM(R[0]C[-109],R[0]C[-106])/COUNT(R[0]C[-109],R[0]C[-106]),"Отработка возражений")</f>
        <v>#ERROR!</v>
      </c>
      <c r="GJ10" s="88" t="str">
        <f>IFERROR(SUM(R[0]C[-98],R[0]C[-95],R[0]C[-92],R[0]C[-89],R[0]C[-86])/COUNT(R[0]C[-98],R[0]C[-95],R[0]C[-92],R[0]C[-89],R[0]C[-86]),"Этап оплаты")</f>
        <v>#ERROR!</v>
      </c>
      <c r="GK10" s="88" t="str">
        <f>IFERROR(SUM(R[0]C[-84],R[0]C[-81],R[0]C[-78],R[0]C[-75])/COUNT(R[0]C[-84],R[0]C[-81],R[0]C[-78],R[0]C[-75]),"Стандарты общения")</f>
        <v>#ERROR!</v>
      </c>
      <c r="GL10" s="88" t="str">
        <f>IFERROR(SUM(R[0]C[-73],R[0]C[-70],R[0]C[-67])/COUNT(R[0]C[-73],R[0]C[-70],R[0]C[-67]),"Критические ошибки")</f>
        <v>#ERROR!</v>
      </c>
      <c r="GM10" s="89" t="str">
        <f>IFERROR(R[0]C[-62]/50,"Экспертный блок  🧠 стратегический слой: методологии 🧰 тактический: структура и фразы 🧍 поведенческий: мотивация клиента 💳 финансовый: дожим и потери")</f>
        <v>#ERROR!</v>
      </c>
      <c r="GN10" s="88" t="str">
        <f>IFERROR(SUM(R[0]C[-45],R[0]C[-42],R[0]C[-39],R[0]C[-36],R[0]C[-33])/COUNT(R[0]C[-45],R[0]C[-42],R[0]C[-39],R[0]C[-36],R[0]C[-33]),"Рекомендации")</f>
        <v>#ERROR!</v>
      </c>
      <c r="GO10" s="88" t="str">
        <f>IFERROR(SUM(R[0]C[-31],R[0]C[-28],R[0]C[-25])/COUNT(R[0]C[-31],R[0]C[-28],R[0]C[-25]),"Фильтры")</f>
        <v>#ERROR!</v>
      </c>
      <c r="GP10" s="89" t="str">
        <f>IFERROR(SUM(R[0]C[-23],R[0]C[-20],R[0]C[-17])/COUNT(R[0]C[-23],R[0]C[-20],R[0]C[-17]),"Скоринг")</f>
        <v>#ERROR!</v>
      </c>
      <c r="GQ10" s="90" t="str">
        <f>IFERROR(
SUM(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
COUNT(IF({R[0]C[-168],R[0]C[-165],R[0]C[-162],R[0]C[-159],R[0]C[-156],R[0]C[-153],R[0]C[-150],R[0]C[-147],R[0]C[-144],R[0]C[-141],R[0]C[-138],R[0]C[-135],R[0]C[-132],R[0]C[-129],R[0]C[-126],R[0]C[-117],R[0]C[-114],R[0]C[-105],R[0]C[-102],R[0]C[-99],R[0]C[-96],R[0]C[-93],R[0]C[-90],R[0]C[-87],R[0]C[-84],R[0]C[-81]}="",hidden!R[0]C[-187],{R[0]C[-168],R[0]C[-165],R[0]C[-162],R[0]C[-159],R[0]C[-156],R[0]C[-153],R[0]C[-150],R[0]C[-147],R[0]C[-144],R[0]C[-141],R[0]C[-138],R[0]C[-135],R[0]C[-132],R[0]C[-129],R[0]C[-126],R[0]C[-117],R[0]C[-114],R[0]C[-105],R[0]C[-102],R[0]C[-99],R[0]C[-96],R[0]C[-93],R[0]C[-90],R[0]C[-87],R[0]C[-84],R[0]C[-81]}+hidden!R[0]C[-186]))
,"")</f>
        <v>#ERROR!</v>
      </c>
      <c r="GR10" s="91" t="str">
        <f t="shared" si="2"/>
        <v>#REF!</v>
      </c>
      <c r="GS10" s="92" t="str">
        <f>IF((R[0]C[-26]+R[0]C[-23]+R[0]C[-20])&lt;hidden!R[-1]C[-199],hidden!R[-1]C[-197], IF((R[0]C[-26]+R[0]C[-23]+R[0]C[-20])&lt;hidden!R[-1]C[-198],hidden!R[-1]C[-196],hidden!R[-1]C[-195]))</f>
        <v>#ERROR!</v>
      </c>
      <c r="GT10" s="92" t="str">
        <f>IF(R[0]C[-27]&lt;=hidden!R[-1]C[-195],hidden!R[-1]C[-193], IF(R[0]C[-27]&lt;=hidden!R[-1]C[-194],hidden!R[-1]C[-192],hidden!R[-1]C[-191]))</f>
        <v>#ERROR!</v>
      </c>
      <c r="GU10" s="92" t="str">
        <f>IF(R[0]C[-25]&lt;=hidden!R[-1]C[-196],hidden!R[-1]C[-194], IF(R[0]C[-25]&lt;=hidden!R[-1]C[-195],hidden!R[-1]C[-193],hidden!R[-1]C[-192]))</f>
        <v>#ERROR!</v>
      </c>
      <c r="GV10" s="93" t="str">
        <f>IF(R[0]C[-23]&lt;=hidden!R[-1]C[-197],hidden!R[-1]C[-195], IF(R[0]C[-23]&lt;=hidden!R[-1]C[-196],hidden!R[-1]C[-194],hidden!R[-1]C[-193]))</f>
        <v>#ERROR!</v>
      </c>
      <c r="GW10" s="93" t="str">
        <f>TEXT(R[0]C[-194], "yyyy.mm")</f>
        <v>#ERROR!</v>
      </c>
      <c r="GX10" s="24"/>
      <c r="GY10" s="24"/>
      <c r="GZ10" s="24"/>
    </row>
  </sheetData>
  <mergeCells count="12">
    <mergeCell ref="DQ2:DY2"/>
    <mergeCell ref="DZ2:ET2"/>
    <mergeCell ref="EU2:FI2"/>
    <mergeCell ref="FJ2:FR2"/>
    <mergeCell ref="FS2:GD2"/>
    <mergeCell ref="AE2:AP2"/>
    <mergeCell ref="AQ2:BK2"/>
    <mergeCell ref="BL2:BQ2"/>
    <mergeCell ref="BR2:BZ2"/>
    <mergeCell ref="CA2:CO2"/>
    <mergeCell ref="CP2:DD2"/>
    <mergeCell ref="DE2:DP2"/>
  </mergeCells>
  <hyperlinks>
    <hyperlink r:id="rId1" ref="C4"/>
    <hyperlink r:id="rId2" ref="AB4"/>
    <hyperlink r:id="rId3" ref="C5"/>
    <hyperlink r:id="rId4" ref="AB5"/>
    <hyperlink r:id="rId5" ref="C6"/>
    <hyperlink r:id="rId6" ref="AB6"/>
    <hyperlink r:id="rId7" ref="C7"/>
    <hyperlink r:id="rId8" ref="AB7"/>
    <hyperlink r:id="rId9" ref="C8"/>
    <hyperlink r:id="rId10" ref="AB8"/>
    <hyperlink r:id="rId11" ref="C9"/>
    <hyperlink r:id="rId12" ref="AB9"/>
    <hyperlink r:id="rId13" ref="C10"/>
    <hyperlink r:id="rId14" ref="AB10"/>
  </hyperlinks>
  <drawing r:id="rId15"/>
</worksheet>
</file>