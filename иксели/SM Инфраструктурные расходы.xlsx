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KK звонки" sheetId="1" state="visible" r:id="rId1"/>
    <sheet name="AI Ролевки R1-D1" sheetId="2" state="visible" r:id="rId2"/>
    <sheet name="Постоянные расходы" sheetId="3" state="visible" r:id="rId3"/>
    <sheet name="ИТОГ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$#,##0.0000"/>
    <numFmt numFmtId="165" formatCode="$#,##0.00000"/>
    <numFmt numFmtId="166" formatCode="$#,##0.00"/>
    <numFmt numFmtId="167" formatCode="$#,##0"/>
    <numFmt numFmtId="168" formatCode="0.0%"/>
    <numFmt numFmtId="169" formatCode="$#,##0.000"/>
  </numFmts>
  <fonts count="12">
    <font>
      <name val="Calibri"/>
      <family val="2"/>
      <color theme="1"/>
      <sz val="11"/>
      <scheme val="minor"/>
    </font>
    <font>
      <name val="Arial"/>
      <b val="1"/>
      <color rgb="000f3460"/>
      <sz val="14"/>
    </font>
    <font>
      <name val="Arial"/>
      <i val="1"/>
      <color rgb="00666666"/>
      <sz val="9"/>
    </font>
    <font>
      <name val="Arial"/>
      <b val="1"/>
      <color rgb="00e94560"/>
      <sz val="11"/>
    </font>
    <font>
      <name val="Arial"/>
      <b val="1"/>
      <color rgb="00FFFFFF"/>
      <sz val="10"/>
    </font>
    <font>
      <name val="Arial"/>
      <color rgb="000000FF"/>
      <sz val="10"/>
    </font>
    <font>
      <name val="Arial"/>
      <sz val="10"/>
    </font>
    <font>
      <name val="Arial"/>
      <b val="1"/>
      <sz val="11"/>
    </font>
    <font>
      <name val="Arial"/>
      <b val="1"/>
      <sz val="13"/>
    </font>
    <font>
      <name val="Arial"/>
      <b val="1"/>
      <color rgb="00e94560"/>
      <sz val="14"/>
    </font>
    <font>
      <name val="Arial"/>
      <b val="1"/>
      <color rgb="00e94560"/>
      <sz val="13"/>
    </font>
    <font>
      <name val="Arial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0f3460"/>
      </patternFill>
    </fill>
    <fill>
      <patternFill patternType="solid">
        <fgColor rgb="00fff9c4"/>
      </patternFill>
    </fill>
    <fill>
      <patternFill patternType="solid">
        <fgColor rgb="00f0f4ff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6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164" fontId="6" fillId="0" borderId="1" applyAlignment="1" pivotButton="0" quotePrefix="0" xfId="0">
      <alignment vertical="center" wrapText="1"/>
    </xf>
    <xf numFmtId="165" fontId="6" fillId="0" borderId="1" applyAlignment="1" pivotButton="0" quotePrefix="0" xfId="0">
      <alignment vertical="center" wrapText="1"/>
    </xf>
    <xf numFmtId="164" fontId="6" fillId="4" borderId="1" applyAlignment="1" pivotButton="0" quotePrefix="0" xfId="0">
      <alignment vertical="center" wrapText="1"/>
    </xf>
    <xf numFmtId="165" fontId="6" fillId="4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 wrapText="1"/>
    </xf>
    <xf numFmtId="3" fontId="6" fillId="0" borderId="1" applyAlignment="1" pivotButton="0" quotePrefix="0" xfId="0">
      <alignment vertical="center" wrapText="1"/>
    </xf>
    <xf numFmtId="0" fontId="7" fillId="5" borderId="1" pivotButton="0" quotePrefix="0" xfId="0"/>
    <xf numFmtId="164" fontId="7" fillId="5" borderId="1" pivotButton="0" quotePrefix="0" xfId="0"/>
    <xf numFmtId="165" fontId="7" fillId="5" borderId="1" pivotButton="0" quotePrefix="0" xfId="0"/>
    <xf numFmtId="3" fontId="0" fillId="5" borderId="1" pivotButton="0" quotePrefix="0" xfId="0"/>
    <xf numFmtId="0" fontId="0" fillId="5" borderId="1" pivotButton="0" quotePrefix="0" xfId="0"/>
    <xf numFmtId="166" fontId="6" fillId="0" borderId="1" applyAlignment="1" pivotButton="0" quotePrefix="0" xfId="0">
      <alignment vertical="center" wrapText="1"/>
    </xf>
    <xf numFmtId="166" fontId="6" fillId="4" borderId="1" applyAlignment="1" pivotButton="0" quotePrefix="0" xfId="0">
      <alignment vertical="center" wrapText="1"/>
    </xf>
    <xf numFmtId="167" fontId="5" fillId="3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167" fontId="7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vertical="center" wrapText="1"/>
    </xf>
    <xf numFmtId="167" fontId="6" fillId="0" borderId="1" applyAlignment="1" pivotButton="0" quotePrefix="0" xfId="0">
      <alignment vertical="center" wrapText="1"/>
    </xf>
    <xf numFmtId="167" fontId="6" fillId="4" borderId="1" applyAlignment="1" pivotButton="0" quotePrefix="0" xfId="0">
      <alignment vertical="center" wrapText="1"/>
    </xf>
    <xf numFmtId="168" fontId="7" fillId="5" borderId="1" applyAlignment="1" pivotButton="0" quotePrefix="0" xfId="0">
      <alignment vertical="center" wrapText="1"/>
    </xf>
    <xf numFmtId="169" fontId="6" fillId="0" borderId="1" applyAlignment="1" pivotButton="0" quotePrefix="0" xfId="0">
      <alignment vertical="center" wrapText="1"/>
    </xf>
    <xf numFmtId="169" fontId="6" fillId="4" borderId="1" applyAlignment="1" pivotButton="0" quotePrefix="0" xfId="0">
      <alignment vertical="center" wrapText="1"/>
    </xf>
    <xf numFmtId="169" fontId="7" fillId="5" borderId="1" pivotButton="0" quotePrefix="0" xfId="0"/>
    <xf numFmtId="167" fontId="5" fillId="4" borderId="1" applyAlignment="1" pivotButton="0" quotePrefix="0" xfId="0">
      <alignment vertical="center" wrapText="1"/>
    </xf>
    <xf numFmtId="167" fontId="7" fillId="5" borderId="1" pivotButton="0" quotePrefix="0" xfId="0"/>
    <xf numFmtId="0" fontId="8" fillId="5" borderId="1" pivotButton="0" quotePrefix="0" xfId="0"/>
    <xf numFmtId="167" fontId="9" fillId="5" borderId="1" pivotButton="0" quotePrefix="0" xfId="0"/>
    <xf numFmtId="0" fontId="7" fillId="0" borderId="0" pivotButton="0" quotePrefix="0" xfId="0"/>
    <xf numFmtId="164" fontId="10" fillId="3" borderId="1" pivotButton="0" quotePrefix="0" xfId="0"/>
    <xf numFmtId="0" fontId="11" fillId="0" borderId="1" applyAlignment="1" pivotButton="0" quotePrefix="0" xfId="0">
      <alignment vertical="center" wrapText="1"/>
    </xf>
    <xf numFmtId="0" fontId="11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OKK — Себестоимость обработки реальных звонков</t>
        </is>
      </c>
    </row>
    <row r="2">
      <c r="A2" s="2" t="inlineStr">
        <is>
          <t>Модель: Grok 4.1 Fast Reasoning | Транскрибация: AssemblyAI | Апрель 2026</t>
        </is>
      </c>
    </row>
    <row r="4">
      <c r="A4" s="3" t="inlineStr">
        <is>
          <t>ВХОДНЫЕ ПАРАМЕТРЫ (синий = меняй)</t>
        </is>
      </c>
    </row>
    <row r="5">
      <c r="A5" s="4" t="inlineStr">
        <is>
          <t>Параметр</t>
        </is>
      </c>
      <c r="B5" s="4" t="inlineStr">
        <is>
          <t>Значение</t>
        </is>
      </c>
      <c r="C5" s="4" t="inlineStr">
        <is>
          <t>Ед.</t>
        </is>
      </c>
    </row>
    <row r="6">
      <c r="A6" s="5" t="inlineStr">
        <is>
          <t>Средний звонок</t>
        </is>
      </c>
      <c r="B6" s="6" t="n">
        <v>15</v>
      </c>
      <c r="C6" s="5" t="inlineStr">
        <is>
          <t>мин</t>
        </is>
      </c>
    </row>
    <row r="7">
      <c r="A7" s="7" t="inlineStr">
        <is>
          <t>Звонков / мес (на 1 менеджера)</t>
        </is>
      </c>
      <c r="B7" s="8" t="n">
        <v>40</v>
      </c>
      <c r="C7" s="7" t="inlineStr">
        <is>
          <t>шт</t>
        </is>
      </c>
    </row>
    <row r="8">
      <c r="A8" s="5" t="inlineStr">
        <is>
          <t>Кол-во менеджеров</t>
        </is>
      </c>
      <c r="B8" s="6" t="n">
        <v>10</v>
      </c>
      <c r="C8" s="5" t="inlineStr">
        <is>
          <t>чел</t>
        </is>
      </c>
    </row>
    <row r="9">
      <c r="A9" s="7" t="inlineStr">
        <is>
          <t>Всего звонков / мес</t>
        </is>
      </c>
      <c r="B9" s="7">
        <f>B7*B8</f>
        <v/>
      </c>
      <c r="C9" s="7">
        <f>B7*B8</f>
        <v/>
      </c>
    </row>
    <row r="10">
      <c r="A10" s="5" t="inlineStr">
        <is>
          <t>Плотность речи (русский)</t>
        </is>
      </c>
      <c r="B10" s="6" t="n">
        <v>792</v>
      </c>
      <c r="C10" s="5" t="inlineStr">
        <is>
          <t>симв/мин</t>
        </is>
      </c>
    </row>
    <row r="11">
      <c r="A11" s="7" t="inlineStr">
        <is>
          <t>Токенизация Cyrillic</t>
        </is>
      </c>
      <c r="B11" s="8" t="n">
        <v>2.5</v>
      </c>
      <c r="C11" s="7" t="inlineStr">
        <is>
          <t>симв/ток</t>
        </is>
      </c>
    </row>
    <row r="12">
      <c r="A12" s="5" t="inlineStr">
        <is>
          <t>Системный промпт (r2_commercial)</t>
        </is>
      </c>
      <c r="B12" s="6" t="n">
        <v>20000</v>
      </c>
      <c r="C12" s="5" t="inlineStr">
        <is>
          <t>символов</t>
        </is>
      </c>
    </row>
    <row r="13">
      <c r="A13" s="7" t="inlineStr">
        <is>
          <t>Output на 51 критерий</t>
        </is>
      </c>
      <c r="B13" s="8" t="n">
        <v>3500</v>
      </c>
      <c r="C13" s="7" t="inlineStr">
        <is>
          <t>токенов</t>
        </is>
      </c>
    </row>
    <row r="16">
      <c r="A16" s="3" t="inlineStr">
        <is>
          <t>СЕБЕСТОИМОСТЬ 1 ЗВОНКА OKK (15 мин)</t>
        </is>
      </c>
    </row>
    <row r="17">
      <c r="A17" s="4" t="inlineStr">
        <is>
          <t>Статья</t>
        </is>
      </c>
      <c r="B17" s="4" t="inlineStr">
        <is>
          <t>$/звонок</t>
        </is>
      </c>
      <c r="C17" s="4" t="inlineStr">
        <is>
          <t>$/мин</t>
        </is>
      </c>
      <c r="D17" s="4" t="inlineStr">
        <is>
          <t>Токены</t>
        </is>
      </c>
      <c r="E17" s="4" t="inlineStr">
        <is>
          <t>Расчёт</t>
        </is>
      </c>
    </row>
    <row r="18">
      <c r="A18" s="5" t="inlineStr">
        <is>
          <t>AssemblyAI (транскрибация RU + диаризация)</t>
        </is>
      </c>
      <c r="B18" s="9">
        <f>0.002833*B6</f>
        <v/>
      </c>
      <c r="C18" s="10">
        <f>B18/B6</f>
        <v/>
      </c>
      <c r="D18" s="5" t="inlineStr">
        <is>
          <t>—</t>
        </is>
      </c>
      <c r="E18" s="5" t="inlineStr">
        <is>
          <t>Universal $0.15/hr + diarization $0.02/hr = $0.17/hr</t>
        </is>
      </c>
    </row>
    <row r="19">
      <c r="A19" s="7" t="inlineStr">
        <is>
          <t>Grok 4.1 Fast (коррекция терминов)</t>
        </is>
      </c>
      <c r="B19" s="11">
        <f>(B10*B6/B11+1000)*0.0000002 + 500*0.0000005</f>
        <v/>
      </c>
      <c r="C19" s="12">
        <f>B19/B6</f>
        <v/>
      </c>
      <c r="D19" s="13">
        <f>B10*B6/B11+1000+500</f>
        <v/>
      </c>
      <c r="E19" s="7" t="inlineStr">
        <is>
          <t>Input: промпт 1K + транскрипт | Output: ~500 tok
$0.20/$0.50 за 1M</t>
        </is>
      </c>
    </row>
    <row r="20">
      <c r="A20" s="5" t="inlineStr">
        <is>
          <t>Grok 4.1 Fast (оценка 51 критерий)</t>
        </is>
      </c>
      <c r="B20" s="9">
        <f>(B12/B11+B10*B6/B11)*0.0000002 + B13*0.0000005</f>
        <v/>
      </c>
      <c r="C20" s="10">
        <f>B20/B6</f>
        <v/>
      </c>
      <c r="D20" s="14">
        <f>B12/B11+B10*B6/B11+B13</f>
        <v/>
      </c>
      <c r="E20" s="5" t="inlineStr">
        <is>
          <t>Input: промпт 20K симв + транскрипт
Output: ~3.5K tok
$0.20/$0.50 за 1M</t>
        </is>
      </c>
    </row>
    <row r="21">
      <c r="A21" s="15" t="inlineStr">
        <is>
          <t>ИТОГО / звонок</t>
        </is>
      </c>
      <c r="B21" s="16">
        <f>SUM(B18:B20)</f>
        <v/>
      </c>
      <c r="C21" s="17">
        <f>B21/B6</f>
        <v/>
      </c>
      <c r="D21" s="18">
        <f>D19+D20</f>
        <v/>
      </c>
      <c r="E21" s="19" t="n"/>
    </row>
    <row r="23">
      <c r="A23" s="3" t="inlineStr">
        <is>
          <t>РАСЧЁТ НА МЕНЕДЖЕРА И ОТДЕЛ</t>
        </is>
      </c>
    </row>
    <row r="24">
      <c r="A24" s="4" t="inlineStr">
        <is>
          <t>Метрика</t>
        </is>
      </c>
      <c r="B24" s="4" t="inlineStr">
        <is>
          <t>Значение</t>
        </is>
      </c>
      <c r="C24" s="4" t="inlineStr">
        <is>
          <t>Формула</t>
        </is>
      </c>
    </row>
    <row r="25">
      <c r="A25" s="5" t="inlineStr">
        <is>
          <t>Расход на 1 менеджера / мес</t>
        </is>
      </c>
      <c r="B25" s="20">
        <f>B21*B7</f>
        <v/>
      </c>
      <c r="C25" s="5" t="inlineStr">
        <is>
          <t>звонков × стоимость</t>
        </is>
      </c>
    </row>
    <row r="26">
      <c r="A26" s="7" t="inlineStr">
        <is>
          <t>Расход на весь отдел / мес (переменные)</t>
        </is>
      </c>
      <c r="B26" s="21">
        <f>B21*B9</f>
        <v/>
      </c>
      <c r="C26" s="7" t="inlineStr">
        <is>
          <t>всего звонков × стоимость</t>
        </is>
      </c>
    </row>
    <row r="27">
      <c r="A27" s="5" t="inlineStr">
        <is>
          <t>+ Фикс расходы / мес (среднее)</t>
        </is>
      </c>
      <c r="B27" s="22" t="n">
        <v>170</v>
      </c>
      <c r="C27" s="5" t="inlineStr">
        <is>
          <t>Neon+Sentry+Kommo+VPS+телефония</t>
        </is>
      </c>
    </row>
    <row r="28">
      <c r="A28" s="23" t="inlineStr">
        <is>
          <t>ВСЕГО расходы / мес</t>
        </is>
      </c>
      <c r="B28" s="24">
        <f>B26+B27</f>
        <v/>
      </c>
      <c r="C28" s="25" t="inlineStr"/>
    </row>
    <row r="29">
      <c r="A29" s="5" t="inlineStr">
        <is>
          <t>Выручка / мес ($0.10/мин)</t>
        </is>
      </c>
      <c r="B29" s="26">
        <f>0.10*B9*B6</f>
        <v/>
      </c>
      <c r="C29" s="5" t="inlineStr"/>
    </row>
    <row r="30">
      <c r="A30" s="7" t="inlineStr">
        <is>
          <t>Маржа / мес</t>
        </is>
      </c>
      <c r="B30" s="27">
        <f>B29-B28</f>
        <v/>
      </c>
      <c r="C30" s="7" t="inlineStr"/>
    </row>
    <row r="31">
      <c r="A31" s="23" t="inlineStr">
        <is>
          <t>Маржинальность</t>
        </is>
      </c>
      <c r="B31" s="28">
        <f>B30/B29</f>
        <v/>
      </c>
      <c r="C31" s="25" t="inlineStr"/>
    </row>
  </sheetData>
  <mergeCells count="5">
    <mergeCell ref="A4:E4"/>
    <mergeCell ref="A2:E2"/>
    <mergeCell ref="A16:E16"/>
    <mergeCell ref="A1:E1"/>
    <mergeCell ref="A23:E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AI Ролевки — Себестоимость 1 сессии</t>
        </is>
      </c>
    </row>
    <row r="2">
      <c r="A2" s="2" t="inlineStr">
        <is>
          <t>Voice: Grok Realtime ($0.05/мин) | Оценка: Grok 4.1 Fast | LiveKit Cloud</t>
        </is>
      </c>
    </row>
    <row r="4">
      <c r="A4" s="3" t="inlineStr">
        <is>
          <t>ВХОДНЫЕ ПАРАМЕТРЫ</t>
        </is>
      </c>
    </row>
    <row r="5">
      <c r="A5" s="4" t="inlineStr">
        <is>
          <t>Параметр</t>
        </is>
      </c>
      <c r="B5" s="4" t="inlineStr">
        <is>
          <t>Значение</t>
        </is>
      </c>
      <c r="C5" s="4" t="inlineStr">
        <is>
          <t>Ед.</t>
        </is>
      </c>
    </row>
    <row r="6">
      <c r="A6" s="5" t="inlineStr">
        <is>
          <t>Средняя сессия</t>
        </is>
      </c>
      <c r="B6" s="6" t="n">
        <v>15</v>
      </c>
      <c r="C6" s="5" t="inlineStr">
        <is>
          <t>мин</t>
        </is>
      </c>
    </row>
    <row r="7">
      <c r="A7" s="7" t="inlineStr">
        <is>
          <t>Ролевок / мес (на 1 менеджера)</t>
        </is>
      </c>
      <c r="B7" s="8" t="n">
        <v>20</v>
      </c>
      <c r="C7" s="7" t="inlineStr">
        <is>
          <t>шт</t>
        </is>
      </c>
    </row>
    <row r="8">
      <c r="A8" s="5" t="inlineStr">
        <is>
          <t>Кол-во менеджеров</t>
        </is>
      </c>
      <c r="B8" s="6" t="n">
        <v>10</v>
      </c>
      <c r="C8" s="5" t="inlineStr">
        <is>
          <t>чел</t>
        </is>
      </c>
    </row>
    <row r="9">
      <c r="A9" s="7" t="inlineStr">
        <is>
          <t>Всего ролевок / мес</t>
        </is>
      </c>
      <c r="B9" s="7">
        <f>B7*B8</f>
        <v/>
      </c>
      <c r="C9" s="7">
        <f>B7*B8</f>
        <v/>
      </c>
    </row>
    <row r="10">
      <c r="A10" s="5" t="inlineStr">
        <is>
          <t>Системный промпт (оценка)</t>
        </is>
      </c>
      <c r="B10" s="6" t="n">
        <v>20000</v>
      </c>
      <c r="C10" s="5" t="inlineStr">
        <is>
          <t>символов</t>
        </is>
      </c>
    </row>
    <row r="11">
      <c r="A11" s="7" t="inlineStr">
        <is>
          <t>Output оценки</t>
        </is>
      </c>
      <c r="B11" s="8" t="n">
        <v>3500</v>
      </c>
      <c r="C11" s="7" t="inlineStr">
        <is>
          <t>токенов</t>
        </is>
      </c>
    </row>
    <row r="14">
      <c r="A14" s="3" t="inlineStr">
        <is>
          <t>СЕБЕСТОИМОСТЬ 1 РОЛЕВОЙ СЕССИИ (15 мин)</t>
        </is>
      </c>
    </row>
    <row r="15">
      <c r="A15" s="4" t="inlineStr">
        <is>
          <t>Статья</t>
        </is>
      </c>
      <c r="B15" s="4" t="inlineStr">
        <is>
          <t>$/сессию</t>
        </is>
      </c>
      <c r="C15" s="4" t="inlineStr">
        <is>
          <t>$/мин</t>
        </is>
      </c>
      <c r="D15" s="4" t="inlineStr">
        <is>
          <t>Источник</t>
        </is>
      </c>
      <c r="E15" s="4" t="inlineStr">
        <is>
          <t>Расчёт</t>
        </is>
      </c>
    </row>
    <row r="16">
      <c r="A16" s="5" t="inlineStr">
        <is>
          <t>Grok Voice Agent (realtime speech)</t>
        </is>
      </c>
      <c r="B16" s="29">
        <f>0.05*B6</f>
        <v/>
      </c>
      <c r="C16" s="9" t="n">
        <v>0.05</v>
      </c>
      <c r="D16" s="5" t="inlineStr">
        <is>
          <t>docs.x.ai</t>
        </is>
      </c>
      <c r="E16" s="5" t="inlineStr">
        <is>
          <t>$0.05/мин flat (audio in+out+text)</t>
        </is>
      </c>
    </row>
    <row r="17">
      <c r="A17" s="7" t="inlineStr">
        <is>
          <t>LiveKit Cloud (WebRTC audio)</t>
        </is>
      </c>
      <c r="B17" s="30">
        <f>0.004*B6</f>
        <v/>
      </c>
      <c r="C17" s="11" t="n">
        <v>0.004</v>
      </c>
      <c r="D17" s="7" t="inlineStr">
        <is>
          <t>livekit.com/pricing</t>
        </is>
      </c>
      <c r="E17" s="7" t="inlineStr">
        <is>
          <t>Audio egress $0.004/мин</t>
        </is>
      </c>
    </row>
    <row r="18">
      <c r="A18" s="5" t="inlineStr">
        <is>
          <t>Grok 4.1 Fast (оценка сессии)</t>
        </is>
      </c>
      <c r="B18" s="9">
        <f>(B10/2.5+792*B6/2.5)*0.0000002 + B11*0.0000005</f>
        <v/>
      </c>
      <c r="C18" s="10">
        <f>B18/B6</f>
        <v/>
      </c>
      <c r="D18" s="5" t="inlineStr">
        <is>
          <t>$0.20/$0.50 за 1M</t>
        </is>
      </c>
      <c r="E18" s="5" t="inlineStr">
        <is>
          <t>Input: промпт + транскрипт | Output: 3.5K tok</t>
        </is>
      </c>
    </row>
    <row r="19">
      <c r="A19" s="15" t="inlineStr">
        <is>
          <t>ИТОГО / сессию</t>
        </is>
      </c>
      <c r="B19" s="31">
        <f>SUM(B16:B18)</f>
        <v/>
      </c>
      <c r="C19" s="16">
        <f>B19/B6</f>
        <v/>
      </c>
      <c r="D19" s="19" t="n"/>
      <c r="E19" s="19" t="n"/>
    </row>
    <row r="21">
      <c r="A21" s="3" t="inlineStr">
        <is>
          <t>РАСЧЁТ НА МЕНЕДЖЕРА И ОТДЕЛ</t>
        </is>
      </c>
    </row>
    <row r="22">
      <c r="A22" s="4" t="inlineStr">
        <is>
          <t>Метрика</t>
        </is>
      </c>
      <c r="B22" s="4" t="inlineStr">
        <is>
          <t>Значение</t>
        </is>
      </c>
      <c r="C22" s="4" t="inlineStr">
        <is>
          <t>Формула</t>
        </is>
      </c>
    </row>
    <row r="23">
      <c r="A23" s="5" t="inlineStr">
        <is>
          <t>Расход на 1 менеджера / мес</t>
        </is>
      </c>
      <c r="B23" s="20">
        <f>B19*B7</f>
        <v/>
      </c>
      <c r="C23" s="5" t="n"/>
    </row>
    <row r="24">
      <c r="A24" s="7" t="inlineStr">
        <is>
          <t>Расход на весь отдел / мес</t>
        </is>
      </c>
      <c r="B24" s="21">
        <f>B19*B9</f>
        <v/>
      </c>
      <c r="C24" s="7" t="n"/>
    </row>
    <row r="25">
      <c r="A25" s="5" t="inlineStr">
        <is>
          <t>+ Фикс (LiveKit план + VPS доля)</t>
        </is>
      </c>
      <c r="B25" s="22" t="n">
        <v>30</v>
      </c>
      <c r="C25" s="5" t="n"/>
    </row>
    <row r="26">
      <c r="A26" s="23" t="inlineStr">
        <is>
          <t>ВСЕГО расходы / мес</t>
        </is>
      </c>
      <c r="B26" s="24">
        <f>B24+B25</f>
        <v/>
      </c>
      <c r="C26" s="25" t="n"/>
    </row>
  </sheetData>
  <mergeCells count="5">
    <mergeCell ref="A21:E21"/>
    <mergeCell ref="A4:E4"/>
    <mergeCell ref="A2:E2"/>
    <mergeCell ref="A1:E1"/>
    <mergeCell ref="A14:E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36" customWidth="1" min="4" max="4"/>
  </cols>
  <sheetData>
    <row r="1">
      <c r="A1" s="1" t="inlineStr">
        <is>
          <t>Постоянные расходы инфраструктуры / мес</t>
        </is>
      </c>
    </row>
    <row r="3">
      <c r="A3" s="4" t="inlineStr">
        <is>
          <t>Сервис</t>
        </is>
      </c>
      <c r="B3" s="4" t="inlineStr">
        <is>
          <t>$/мес (min)</t>
        </is>
      </c>
      <c r="C3" s="4" t="inlineStr">
        <is>
          <t>$/мес (max)</t>
        </is>
      </c>
      <c r="D3" s="4" t="inlineStr">
        <is>
          <t>Примечание</t>
        </is>
      </c>
    </row>
    <row r="4">
      <c r="A4" s="5" t="inlineStr">
        <is>
          <t>Neon PostgreSQL (4 проекта)</t>
        </is>
      </c>
      <c r="B4" s="22" t="n">
        <v>0</v>
      </c>
      <c r="C4" s="22" t="n">
        <v>50</v>
      </c>
      <c r="D4" s="5" t="inlineStr">
        <is>
          <t>Free tier: 0.25 CU, 191 часов. Выше: $0.16/CU-hr</t>
        </is>
      </c>
    </row>
    <row r="5">
      <c r="A5" s="7" t="inlineStr">
        <is>
          <t>Sentry (R1 + D1 + OKK)</t>
        </is>
      </c>
      <c r="B5" s="32" t="n">
        <v>0</v>
      </c>
      <c r="C5" s="32" t="n">
        <v>26</v>
      </c>
      <c r="D5" s="7" t="inlineStr">
        <is>
          <t>Developer: free (5K events). Team: $26</t>
        </is>
      </c>
    </row>
    <row r="6">
      <c r="A6" s="5" t="inlineStr">
        <is>
          <t>Kommo CRM (1 user)</t>
        </is>
      </c>
      <c r="B6" s="22" t="n">
        <v>15</v>
      </c>
      <c r="C6" s="22" t="n">
        <v>25</v>
      </c>
      <c r="D6" s="5" t="inlineStr">
        <is>
          <t>Base $15/user, Advanced $25</t>
        </is>
      </c>
    </row>
    <row r="7">
      <c r="A7" s="7" t="inlineStr">
        <is>
          <t>CallGear / CloudTalk</t>
        </is>
      </c>
      <c r="B7" s="32" t="n">
        <v>30</v>
      </c>
      <c r="C7" s="32" t="n">
        <v>100</v>
      </c>
      <c r="D7" s="7" t="inlineStr">
        <is>
          <t>Зависит от кол-ва номеров и минут</t>
        </is>
      </c>
    </row>
    <row r="8">
      <c r="A8" s="5" t="inlineStr">
        <is>
          <t>VPS / Dokploy (6 контейнеров)</t>
        </is>
      </c>
      <c r="B8" s="22" t="n">
        <v>20</v>
      </c>
      <c r="C8" s="22" t="n">
        <v>60</v>
      </c>
      <c r="D8" s="5" t="inlineStr">
        <is>
          <t>4-8GB RAM: R1, D1, OKK, Dashboard</t>
        </is>
      </c>
    </row>
    <row r="9">
      <c r="A9" s="7" t="inlineStr">
        <is>
          <t>ElevenLabs (AI менеджер лендинг)</t>
        </is>
      </c>
      <c r="B9" s="32" t="n">
        <v>0</v>
      </c>
      <c r="C9" s="32" t="n">
        <v>22</v>
      </c>
      <c r="D9" s="7" t="inlineStr">
        <is>
          <t>Creator $22/мес (100 мин)</t>
        </is>
      </c>
    </row>
    <row r="10">
      <c r="A10" s="5" t="inlineStr">
        <is>
          <t>Домены + SSL (3-4 шт)</t>
        </is>
      </c>
      <c r="B10" s="22" t="n">
        <v>5</v>
      </c>
      <c r="C10" s="22" t="n">
        <v>10</v>
      </c>
      <c r="D10" s="5" t="inlineStr">
        <is>
          <t>sternmeister.online и др.</t>
        </is>
      </c>
    </row>
    <row r="11">
      <c r="A11" s="7" t="inlineStr">
        <is>
          <t>Telegram Bot API</t>
        </is>
      </c>
      <c r="B11" s="32" t="n">
        <v>0</v>
      </c>
      <c r="C11" s="32" t="n">
        <v>0</v>
      </c>
      <c r="D11" s="7" t="inlineStr">
        <is>
          <t>Бесплатно</t>
        </is>
      </c>
    </row>
    <row r="12">
      <c r="A12" s="15" t="inlineStr">
        <is>
          <t>ИТОГО фикс / мес</t>
        </is>
      </c>
      <c r="B12" s="33">
        <f>SUM(B4:B11)</f>
        <v/>
      </c>
      <c r="C12" s="33">
        <f>SUM(C4:C11)</f>
        <v/>
      </c>
      <c r="D12" s="19" t="n"/>
    </row>
    <row r="13">
      <c r="A13" s="15" t="inlineStr">
        <is>
          <t>Среднее</t>
        </is>
      </c>
      <c r="B13" s="33">
        <f>AVERAGE(B12,C12)</f>
        <v/>
      </c>
      <c r="C13" s="19" t="n"/>
      <c r="D13" s="19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Полная себестоимость инфраструктуры</t>
        </is>
      </c>
    </row>
    <row r="3">
      <c r="A3" s="4" t="inlineStr">
        <is>
          <t>Статья</t>
        </is>
      </c>
      <c r="B3" s="4" t="inlineStr">
        <is>
          <t>$/мес</t>
        </is>
      </c>
      <c r="C3" s="4" t="inlineStr">
        <is>
          <t>Примечание</t>
        </is>
      </c>
    </row>
    <row r="4">
      <c r="A4" s="5" t="inlineStr">
        <is>
          <t>OKK переменные (10 менеджеров × 40 звонков)</t>
        </is>
      </c>
      <c r="B4" s="26">
        <f>'OKK звонки'!B26</f>
        <v/>
      </c>
      <c r="C4" s="5" t="inlineStr">
        <is>
          <t>400 звонков × 15 мин</t>
        </is>
      </c>
    </row>
    <row r="5">
      <c r="A5" s="7" t="inlineStr">
        <is>
          <t>AI Ролевки переменные (10 менеджеров × 20 сессий)</t>
        </is>
      </c>
      <c r="B5" s="27">
        <f>'AI Ролевки R1-D1'!B24</f>
        <v/>
      </c>
      <c r="C5" s="7" t="inlineStr">
        <is>
          <t>200 сессий × 15 мин</t>
        </is>
      </c>
    </row>
    <row r="6">
      <c r="A6" s="5" t="inlineStr">
        <is>
          <t>Постоянные расходы (среднее)</t>
        </is>
      </c>
      <c r="B6" s="26">
        <f>'Постоянные расходы'!B13</f>
        <v/>
      </c>
      <c r="C6" s="5" t="inlineStr">
        <is>
          <t>Neon+Sentry+Kommo+VPS+...</t>
        </is>
      </c>
    </row>
    <row r="7">
      <c r="A7" s="34" t="inlineStr">
        <is>
          <t>ВСЕГО расходы / мес</t>
        </is>
      </c>
      <c r="B7" s="35">
        <f>SUM(B4:B6)</f>
        <v/>
      </c>
      <c r="C7" s="19" t="n"/>
    </row>
    <row r="9">
      <c r="A9" s="36" t="inlineStr">
        <is>
          <t>Себестоимость OKK на 1 мин (всё включено)</t>
        </is>
      </c>
      <c r="B9" s="37">
        <f>B7/('OKK звонки'!B9*'OKK звонки'!B6)</f>
        <v/>
      </c>
    </row>
    <row r="11">
      <c r="A11" s="3" t="inlineStr">
        <is>
          <t>СРАВНЕНИЕ: Было (Anthropic) → Стало (Grok)</t>
        </is>
      </c>
    </row>
    <row r="12">
      <c r="A12" s="4" t="inlineStr">
        <is>
          <t>Метрика</t>
        </is>
      </c>
      <c r="B12" s="4" t="inlineStr">
        <is>
          <t>Anthropic Sonnet</t>
        </is>
      </c>
      <c r="C12" s="4" t="inlineStr">
        <is>
          <t>Grok 4.1 Fast</t>
        </is>
      </c>
    </row>
    <row r="13">
      <c r="A13" s="5" t="inlineStr">
        <is>
          <t>Input price / 1M tok</t>
        </is>
      </c>
      <c r="B13" s="5" t="inlineStr">
        <is>
          <t>$3.00</t>
        </is>
      </c>
      <c r="C13" s="38" t="inlineStr">
        <is>
          <t>$0.20</t>
        </is>
      </c>
    </row>
    <row r="14">
      <c r="A14" s="7" t="inlineStr">
        <is>
          <t>Output price / 1M tok</t>
        </is>
      </c>
      <c r="B14" s="7" t="inlineStr">
        <is>
          <t>$15.00</t>
        </is>
      </c>
      <c r="C14" s="39" t="inlineStr">
        <is>
          <t>$0.50</t>
        </is>
      </c>
    </row>
    <row r="15">
      <c r="A15" s="5" t="inlineStr">
        <is>
          <t>Токенов на звонок (OKK)</t>
        </is>
      </c>
      <c r="B15" s="5" t="inlineStr">
        <is>
          <t>~130,000</t>
        </is>
      </c>
      <c r="C15" s="38" t="inlineStr">
        <is>
          <t>~12,000</t>
        </is>
      </c>
    </row>
    <row r="16">
      <c r="A16" s="7" t="inlineStr">
        <is>
          <t>Стоимость AI / звонок</t>
        </is>
      </c>
      <c r="B16" s="7" t="inlineStr">
        <is>
          <t>$1.14</t>
        </is>
      </c>
      <c r="C16" s="39" t="inlineStr">
        <is>
          <t>$0.005</t>
        </is>
      </c>
    </row>
    <row r="17">
      <c r="A17" s="5" t="inlineStr">
        <is>
          <t>Стоимость всего / звонок</t>
        </is>
      </c>
      <c r="B17" s="5" t="inlineStr">
        <is>
          <t>$1.19</t>
        </is>
      </c>
      <c r="C17" s="38" t="inlineStr">
        <is>
          <t>$0.05</t>
        </is>
      </c>
    </row>
    <row r="18">
      <c r="A18" s="7" t="inlineStr">
        <is>
          <t>Маржа при $0.10/мин</t>
        </is>
      </c>
      <c r="B18" s="7" t="inlineStr">
        <is>
          <t>~10%</t>
        </is>
      </c>
      <c r="C18" s="39" t="inlineStr">
        <is>
          <t>~92%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2026-04-06T12:55:47Z</dcterms:created>
  <dcterms:modified xsi:type="dcterms:W3CDTF">2026-04-06T12:55:47Z</dcterms:modified>
</cp:coreProperties>
</file>